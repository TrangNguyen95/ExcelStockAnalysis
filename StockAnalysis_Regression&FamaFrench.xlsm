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TD\FIN 6352\Asignment1\"/>
    </mc:Choice>
  </mc:AlternateContent>
  <bookViews>
    <workbookView minimized="1" xWindow="0" yWindow="0" windowWidth="19200" windowHeight="6950" firstSheet="8" activeTab="13"/>
  </bookViews>
  <sheets>
    <sheet name="Stock Price" sheetId="1" r:id="rId1"/>
    <sheet name="Returns" sheetId="2" r:id="rId2"/>
    <sheet name="Q1_TwoDimensionTable" sheetId="3" r:id="rId3"/>
    <sheet name="Q2_AnnualSMean&amp;StdDev" sheetId="4" r:id="rId4"/>
    <sheet name="Q3_BIIB_Reg" sheetId="9" r:id="rId5"/>
    <sheet name="Q3_BNCN_Reg" sheetId="10" r:id="rId6"/>
    <sheet name="Q3_CELG_Reg" sheetId="11" r:id="rId7"/>
    <sheet name="Q3_MCHP_Reg" sheetId="12" r:id="rId8"/>
    <sheet name="Q4_CAPM" sheetId="13" r:id="rId9"/>
    <sheet name="Q5_Correlation" sheetId="14" r:id="rId10"/>
    <sheet name="Q6_Slope" sheetId="15" r:id="rId11"/>
    <sheet name="Q7_MarketRegression" sheetId="5" r:id="rId12"/>
    <sheet name="Q8_FamaFrench" sheetId="17" r:id="rId13"/>
    <sheet name="Sheet1" sheetId="18" r:id="rId14"/>
  </sheets>
  <functionGroups builtInGroupCount="18"/>
  <definedNames>
    <definedName name="BIIB">Returns!$G$2:$G$209</definedName>
    <definedName name="BIIB1">Returns!$G$106:$G$209</definedName>
    <definedName name="BIIB2">Returns!$G$2:$G$105</definedName>
    <definedName name="BNCN">Returns!$H$2:$H$209</definedName>
    <definedName name="BNCN1">Returns!$H$106:$H$209</definedName>
    <definedName name="BNCN2">Returns!$H$2:$H$105</definedName>
    <definedName name="CELG">Returns!$I$2:$I$209</definedName>
    <definedName name="CELG1">Returns!$I$106:$I$209</definedName>
    <definedName name="CELG2">Returns!$I$2:$I$105</definedName>
    <definedName name="factor3">Returns!$B$2:$D$209</definedName>
    <definedName name="HML">Returns!$D$2:$D$209</definedName>
    <definedName name="MCHP">Returns!$J$2:$J$209</definedName>
    <definedName name="MCHP1">Returns!$J$106:$J$209</definedName>
    <definedName name="MCHP2">Returns!$J$2:$J$105</definedName>
    <definedName name="Mkt_RF">Returns!$B$2:$B$209</definedName>
    <definedName name="Mkt_RF1">Returns!$B$106:$B$209</definedName>
    <definedName name="Mkt_RF2">Returns!$B$2:$B$105</definedName>
    <definedName name="RF">Returns!$E$2:$E$209</definedName>
    <definedName name="SMB">Returns!$C$2:$C$209</definedName>
    <definedName name="varcov">Q5_Correlation!$Q$13:$T$16</definedName>
    <definedName name="Weight">Q5_Correlation!$C$20:$C$23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14" l="1"/>
  <c r="R15" i="14"/>
  <c r="Q15" i="14"/>
  <c r="Q16" i="14"/>
  <c r="R16" i="14"/>
  <c r="S16" i="14"/>
  <c r="T16" i="14"/>
  <c r="S15" i="14"/>
  <c r="R14" i="14"/>
  <c r="Q13" i="14"/>
  <c r="L18" i="14"/>
  <c r="E6" i="18"/>
  <c r="C10" i="13" l="1"/>
  <c r="C9" i="13"/>
  <c r="C8" i="13"/>
  <c r="C7" i="13"/>
  <c r="I7" i="17" l="1"/>
  <c r="C7" i="17"/>
  <c r="O16" i="17" a="1"/>
  <c r="O16" i="17" s="1"/>
  <c r="O5" i="17" a="1"/>
  <c r="O5" i="17" s="1"/>
  <c r="M5" i="15"/>
  <c r="M4" i="15"/>
  <c r="J5" i="15"/>
  <c r="J4" i="15"/>
  <c r="E5" i="15"/>
  <c r="E4" i="15"/>
  <c r="I23" i="15" a="1"/>
  <c r="I27" i="15" s="1"/>
  <c r="F16" i="14"/>
  <c r="E15" i="14"/>
  <c r="D14" i="14"/>
  <c r="C13" i="14"/>
  <c r="G3" i="2"/>
  <c r="H3" i="2"/>
  <c r="I3" i="2"/>
  <c r="J3" i="2"/>
  <c r="G4" i="2"/>
  <c r="H4" i="2"/>
  <c r="I4" i="2"/>
  <c r="J4" i="2"/>
  <c r="G5" i="2"/>
  <c r="H5" i="2"/>
  <c r="I5" i="2"/>
  <c r="J5" i="2"/>
  <c r="G6" i="2"/>
  <c r="H6" i="2"/>
  <c r="I6" i="2"/>
  <c r="J6" i="2"/>
  <c r="G7" i="2"/>
  <c r="H7" i="2"/>
  <c r="I7" i="2"/>
  <c r="J7" i="2"/>
  <c r="G8" i="2"/>
  <c r="H8" i="2"/>
  <c r="I8" i="2"/>
  <c r="J8" i="2"/>
  <c r="G9" i="2"/>
  <c r="H9" i="2"/>
  <c r="I9" i="2"/>
  <c r="J9" i="2"/>
  <c r="G10" i="2"/>
  <c r="H10" i="2"/>
  <c r="I10" i="2"/>
  <c r="J10" i="2"/>
  <c r="G11" i="2"/>
  <c r="H11" i="2"/>
  <c r="I11" i="2"/>
  <c r="J11" i="2"/>
  <c r="G12" i="2"/>
  <c r="H12" i="2"/>
  <c r="I12" i="2"/>
  <c r="J12" i="2"/>
  <c r="G13" i="2"/>
  <c r="H13" i="2"/>
  <c r="I13" i="2"/>
  <c r="J13" i="2"/>
  <c r="G14" i="2"/>
  <c r="H14" i="2"/>
  <c r="I14" i="2"/>
  <c r="J14" i="2"/>
  <c r="G15" i="2"/>
  <c r="H15" i="2"/>
  <c r="I15" i="2"/>
  <c r="J15" i="2"/>
  <c r="G16" i="2"/>
  <c r="H16" i="2"/>
  <c r="I16" i="2"/>
  <c r="J16" i="2"/>
  <c r="G17" i="2"/>
  <c r="H17" i="2"/>
  <c r="I17" i="2"/>
  <c r="J17" i="2"/>
  <c r="G18" i="2"/>
  <c r="H18" i="2"/>
  <c r="I18" i="2"/>
  <c r="J18" i="2"/>
  <c r="G19" i="2"/>
  <c r="H19" i="2"/>
  <c r="I19" i="2"/>
  <c r="J19" i="2"/>
  <c r="G20" i="2"/>
  <c r="H20" i="2"/>
  <c r="I20" i="2"/>
  <c r="J20" i="2"/>
  <c r="G21" i="2"/>
  <c r="H21" i="2"/>
  <c r="I21" i="2"/>
  <c r="J21" i="2"/>
  <c r="G22" i="2"/>
  <c r="H22" i="2"/>
  <c r="I22" i="2"/>
  <c r="J22" i="2"/>
  <c r="G23" i="2"/>
  <c r="H23" i="2"/>
  <c r="I23" i="2"/>
  <c r="J23" i="2"/>
  <c r="G24" i="2"/>
  <c r="H24" i="2"/>
  <c r="I24" i="2"/>
  <c r="J24" i="2"/>
  <c r="G25" i="2"/>
  <c r="H25" i="2"/>
  <c r="I25" i="2"/>
  <c r="J25" i="2"/>
  <c r="G26" i="2"/>
  <c r="H26" i="2"/>
  <c r="I26" i="2"/>
  <c r="J26" i="2"/>
  <c r="G27" i="2"/>
  <c r="H27" i="2"/>
  <c r="I27" i="2"/>
  <c r="J27" i="2"/>
  <c r="G28" i="2"/>
  <c r="H28" i="2"/>
  <c r="I28" i="2"/>
  <c r="J28" i="2"/>
  <c r="G29" i="2"/>
  <c r="H29" i="2"/>
  <c r="I29" i="2"/>
  <c r="J29" i="2"/>
  <c r="G30" i="2"/>
  <c r="H30" i="2"/>
  <c r="I30" i="2"/>
  <c r="J30" i="2"/>
  <c r="G31" i="2"/>
  <c r="H31" i="2"/>
  <c r="I31" i="2"/>
  <c r="J31" i="2"/>
  <c r="G32" i="2"/>
  <c r="H32" i="2"/>
  <c r="I32" i="2"/>
  <c r="J32" i="2"/>
  <c r="G33" i="2"/>
  <c r="H33" i="2"/>
  <c r="I33" i="2"/>
  <c r="J33" i="2"/>
  <c r="G34" i="2"/>
  <c r="H34" i="2"/>
  <c r="I34" i="2"/>
  <c r="J34" i="2"/>
  <c r="G35" i="2"/>
  <c r="H35" i="2"/>
  <c r="I35" i="2"/>
  <c r="J35" i="2"/>
  <c r="G36" i="2"/>
  <c r="H36" i="2"/>
  <c r="I36" i="2"/>
  <c r="J36" i="2"/>
  <c r="G37" i="2"/>
  <c r="H37" i="2"/>
  <c r="I37" i="2"/>
  <c r="J37" i="2"/>
  <c r="G38" i="2"/>
  <c r="H38" i="2"/>
  <c r="I38" i="2"/>
  <c r="J38" i="2"/>
  <c r="G39" i="2"/>
  <c r="H39" i="2"/>
  <c r="I39" i="2"/>
  <c r="J39" i="2"/>
  <c r="G40" i="2"/>
  <c r="H40" i="2"/>
  <c r="I40" i="2"/>
  <c r="J40" i="2"/>
  <c r="G41" i="2"/>
  <c r="H41" i="2"/>
  <c r="I41" i="2"/>
  <c r="J41" i="2"/>
  <c r="G42" i="2"/>
  <c r="H42" i="2"/>
  <c r="I42" i="2"/>
  <c r="J42" i="2"/>
  <c r="G43" i="2"/>
  <c r="H43" i="2"/>
  <c r="I43" i="2"/>
  <c r="J43" i="2"/>
  <c r="G44" i="2"/>
  <c r="H44" i="2"/>
  <c r="I44" i="2"/>
  <c r="J44" i="2"/>
  <c r="G45" i="2"/>
  <c r="H45" i="2"/>
  <c r="I45" i="2"/>
  <c r="J45" i="2"/>
  <c r="G46" i="2"/>
  <c r="H46" i="2"/>
  <c r="I46" i="2"/>
  <c r="J46" i="2"/>
  <c r="G47" i="2"/>
  <c r="H47" i="2"/>
  <c r="I47" i="2"/>
  <c r="J47" i="2"/>
  <c r="G48" i="2"/>
  <c r="H48" i="2"/>
  <c r="I48" i="2"/>
  <c r="J48" i="2"/>
  <c r="G49" i="2"/>
  <c r="H49" i="2"/>
  <c r="I49" i="2"/>
  <c r="J49" i="2"/>
  <c r="G50" i="2"/>
  <c r="H50" i="2"/>
  <c r="I50" i="2"/>
  <c r="J50" i="2"/>
  <c r="G51" i="2"/>
  <c r="H51" i="2"/>
  <c r="I51" i="2"/>
  <c r="J51" i="2"/>
  <c r="G52" i="2"/>
  <c r="H52" i="2"/>
  <c r="I52" i="2"/>
  <c r="J52" i="2"/>
  <c r="G53" i="2"/>
  <c r="H53" i="2"/>
  <c r="I53" i="2"/>
  <c r="J53" i="2"/>
  <c r="G54" i="2"/>
  <c r="H54" i="2"/>
  <c r="I54" i="2"/>
  <c r="J54" i="2"/>
  <c r="G55" i="2"/>
  <c r="H55" i="2"/>
  <c r="I55" i="2"/>
  <c r="J55" i="2"/>
  <c r="G56" i="2"/>
  <c r="H56" i="2"/>
  <c r="I56" i="2"/>
  <c r="J56" i="2"/>
  <c r="G57" i="2"/>
  <c r="H57" i="2"/>
  <c r="I57" i="2"/>
  <c r="J57" i="2"/>
  <c r="G58" i="2"/>
  <c r="H58" i="2"/>
  <c r="I58" i="2"/>
  <c r="J58" i="2"/>
  <c r="G59" i="2"/>
  <c r="H59" i="2"/>
  <c r="I59" i="2"/>
  <c r="J59" i="2"/>
  <c r="G60" i="2"/>
  <c r="H60" i="2"/>
  <c r="I60" i="2"/>
  <c r="J60" i="2"/>
  <c r="G61" i="2"/>
  <c r="H61" i="2"/>
  <c r="I61" i="2"/>
  <c r="J61" i="2"/>
  <c r="G62" i="2"/>
  <c r="H62" i="2"/>
  <c r="I62" i="2"/>
  <c r="J62" i="2"/>
  <c r="G63" i="2"/>
  <c r="H63" i="2"/>
  <c r="I63" i="2"/>
  <c r="J63" i="2"/>
  <c r="G64" i="2"/>
  <c r="H64" i="2"/>
  <c r="I64" i="2"/>
  <c r="J64" i="2"/>
  <c r="G65" i="2"/>
  <c r="H65" i="2"/>
  <c r="I65" i="2"/>
  <c r="J65" i="2"/>
  <c r="G66" i="2"/>
  <c r="H66" i="2"/>
  <c r="I66" i="2"/>
  <c r="J66" i="2"/>
  <c r="G67" i="2"/>
  <c r="H67" i="2"/>
  <c r="I67" i="2"/>
  <c r="J67" i="2"/>
  <c r="G68" i="2"/>
  <c r="H68" i="2"/>
  <c r="I68" i="2"/>
  <c r="J68" i="2"/>
  <c r="G69" i="2"/>
  <c r="H69" i="2"/>
  <c r="I69" i="2"/>
  <c r="J69" i="2"/>
  <c r="G70" i="2"/>
  <c r="H70" i="2"/>
  <c r="I70" i="2"/>
  <c r="J70" i="2"/>
  <c r="G71" i="2"/>
  <c r="H71" i="2"/>
  <c r="I71" i="2"/>
  <c r="J71" i="2"/>
  <c r="G72" i="2"/>
  <c r="H72" i="2"/>
  <c r="I72" i="2"/>
  <c r="J72" i="2"/>
  <c r="G73" i="2"/>
  <c r="H73" i="2"/>
  <c r="I73" i="2"/>
  <c r="J73" i="2"/>
  <c r="G74" i="2"/>
  <c r="H74" i="2"/>
  <c r="I74" i="2"/>
  <c r="J74" i="2"/>
  <c r="G75" i="2"/>
  <c r="H75" i="2"/>
  <c r="I75" i="2"/>
  <c r="J75" i="2"/>
  <c r="G76" i="2"/>
  <c r="H76" i="2"/>
  <c r="I76" i="2"/>
  <c r="J76" i="2"/>
  <c r="G77" i="2"/>
  <c r="H77" i="2"/>
  <c r="I77" i="2"/>
  <c r="J77" i="2"/>
  <c r="G78" i="2"/>
  <c r="H78" i="2"/>
  <c r="I78" i="2"/>
  <c r="J78" i="2"/>
  <c r="G79" i="2"/>
  <c r="H79" i="2"/>
  <c r="I79" i="2"/>
  <c r="J79" i="2"/>
  <c r="G80" i="2"/>
  <c r="H80" i="2"/>
  <c r="I80" i="2"/>
  <c r="J80" i="2"/>
  <c r="G81" i="2"/>
  <c r="H81" i="2"/>
  <c r="I81" i="2"/>
  <c r="J81" i="2"/>
  <c r="G82" i="2"/>
  <c r="H82" i="2"/>
  <c r="I82" i="2"/>
  <c r="J82" i="2"/>
  <c r="G83" i="2"/>
  <c r="H83" i="2"/>
  <c r="I83" i="2"/>
  <c r="J83" i="2"/>
  <c r="G84" i="2"/>
  <c r="H84" i="2"/>
  <c r="I84" i="2"/>
  <c r="J84" i="2"/>
  <c r="G85" i="2"/>
  <c r="H85" i="2"/>
  <c r="I85" i="2"/>
  <c r="J85" i="2"/>
  <c r="G86" i="2"/>
  <c r="H86" i="2"/>
  <c r="I86" i="2"/>
  <c r="J86" i="2"/>
  <c r="G87" i="2"/>
  <c r="H87" i="2"/>
  <c r="I87" i="2"/>
  <c r="J87" i="2"/>
  <c r="G88" i="2"/>
  <c r="H88" i="2"/>
  <c r="I88" i="2"/>
  <c r="J88" i="2"/>
  <c r="G89" i="2"/>
  <c r="H89" i="2"/>
  <c r="I89" i="2"/>
  <c r="J89" i="2"/>
  <c r="G90" i="2"/>
  <c r="H90" i="2"/>
  <c r="I90" i="2"/>
  <c r="J90" i="2"/>
  <c r="G91" i="2"/>
  <c r="H91" i="2"/>
  <c r="I91" i="2"/>
  <c r="J91" i="2"/>
  <c r="G92" i="2"/>
  <c r="H92" i="2"/>
  <c r="I92" i="2"/>
  <c r="J92" i="2"/>
  <c r="G93" i="2"/>
  <c r="H93" i="2"/>
  <c r="I93" i="2"/>
  <c r="J93" i="2"/>
  <c r="G94" i="2"/>
  <c r="H94" i="2"/>
  <c r="I94" i="2"/>
  <c r="J94" i="2"/>
  <c r="G95" i="2"/>
  <c r="H95" i="2"/>
  <c r="I95" i="2"/>
  <c r="J95" i="2"/>
  <c r="G96" i="2"/>
  <c r="H96" i="2"/>
  <c r="I96" i="2"/>
  <c r="J96" i="2"/>
  <c r="G97" i="2"/>
  <c r="H97" i="2"/>
  <c r="I97" i="2"/>
  <c r="J97" i="2"/>
  <c r="G98" i="2"/>
  <c r="H98" i="2"/>
  <c r="I98" i="2"/>
  <c r="J98" i="2"/>
  <c r="G99" i="2"/>
  <c r="H99" i="2"/>
  <c r="I99" i="2"/>
  <c r="J99" i="2"/>
  <c r="G100" i="2"/>
  <c r="H100" i="2"/>
  <c r="I100" i="2"/>
  <c r="J100" i="2"/>
  <c r="G101" i="2"/>
  <c r="H101" i="2"/>
  <c r="I101" i="2"/>
  <c r="J101" i="2"/>
  <c r="G102" i="2"/>
  <c r="H102" i="2"/>
  <c r="I102" i="2"/>
  <c r="J102" i="2"/>
  <c r="G103" i="2"/>
  <c r="H103" i="2"/>
  <c r="I103" i="2"/>
  <c r="J103" i="2"/>
  <c r="G104" i="2"/>
  <c r="H104" i="2"/>
  <c r="I104" i="2"/>
  <c r="J104" i="2"/>
  <c r="G105" i="2"/>
  <c r="H105" i="2"/>
  <c r="I105" i="2"/>
  <c r="J105" i="2"/>
  <c r="G106" i="2"/>
  <c r="H106" i="2"/>
  <c r="I106" i="2"/>
  <c r="J106" i="2"/>
  <c r="F5" i="15" s="1"/>
  <c r="G107" i="2"/>
  <c r="H107" i="2"/>
  <c r="I107" i="2"/>
  <c r="J107" i="2"/>
  <c r="G108" i="2"/>
  <c r="H108" i="2"/>
  <c r="I108" i="2"/>
  <c r="J108" i="2"/>
  <c r="G109" i="2"/>
  <c r="H109" i="2"/>
  <c r="I109" i="2"/>
  <c r="J109" i="2"/>
  <c r="G110" i="2"/>
  <c r="H110" i="2"/>
  <c r="I110" i="2"/>
  <c r="J110" i="2"/>
  <c r="G111" i="2"/>
  <c r="H111" i="2"/>
  <c r="I111" i="2"/>
  <c r="J111" i="2"/>
  <c r="G112" i="2"/>
  <c r="H112" i="2"/>
  <c r="I112" i="2"/>
  <c r="J112" i="2"/>
  <c r="G113" i="2"/>
  <c r="H113" i="2"/>
  <c r="I113" i="2"/>
  <c r="J113" i="2"/>
  <c r="G114" i="2"/>
  <c r="H114" i="2"/>
  <c r="I114" i="2"/>
  <c r="J114" i="2"/>
  <c r="G115" i="2"/>
  <c r="H115" i="2"/>
  <c r="I115" i="2"/>
  <c r="J115" i="2"/>
  <c r="G116" i="2"/>
  <c r="H116" i="2"/>
  <c r="I116" i="2"/>
  <c r="J116" i="2"/>
  <c r="G117" i="2"/>
  <c r="H117" i="2"/>
  <c r="I117" i="2"/>
  <c r="J117" i="2"/>
  <c r="G118" i="2"/>
  <c r="H118" i="2"/>
  <c r="I118" i="2"/>
  <c r="J118" i="2"/>
  <c r="G119" i="2"/>
  <c r="H119" i="2"/>
  <c r="I119" i="2"/>
  <c r="J119" i="2"/>
  <c r="G120" i="2"/>
  <c r="H120" i="2"/>
  <c r="I120" i="2"/>
  <c r="J120" i="2"/>
  <c r="G121" i="2"/>
  <c r="H121" i="2"/>
  <c r="I121" i="2"/>
  <c r="J121" i="2"/>
  <c r="G122" i="2"/>
  <c r="H122" i="2"/>
  <c r="I122" i="2"/>
  <c r="J122" i="2"/>
  <c r="G123" i="2"/>
  <c r="H123" i="2"/>
  <c r="I123" i="2"/>
  <c r="J123" i="2"/>
  <c r="G124" i="2"/>
  <c r="H124" i="2"/>
  <c r="I124" i="2"/>
  <c r="J124" i="2"/>
  <c r="G125" i="2"/>
  <c r="H125" i="2"/>
  <c r="I125" i="2"/>
  <c r="J125" i="2"/>
  <c r="G126" i="2"/>
  <c r="H126" i="2"/>
  <c r="I126" i="2"/>
  <c r="J126" i="2"/>
  <c r="G127" i="2"/>
  <c r="H127" i="2"/>
  <c r="I127" i="2"/>
  <c r="J127" i="2"/>
  <c r="G128" i="2"/>
  <c r="H128" i="2"/>
  <c r="I128" i="2"/>
  <c r="J128" i="2"/>
  <c r="G129" i="2"/>
  <c r="H129" i="2"/>
  <c r="I129" i="2"/>
  <c r="J129" i="2"/>
  <c r="G130" i="2"/>
  <c r="H130" i="2"/>
  <c r="I130" i="2"/>
  <c r="J130" i="2"/>
  <c r="G131" i="2"/>
  <c r="H131" i="2"/>
  <c r="I131" i="2"/>
  <c r="J131" i="2"/>
  <c r="G132" i="2"/>
  <c r="H132" i="2"/>
  <c r="I132" i="2"/>
  <c r="J132" i="2"/>
  <c r="G133" i="2"/>
  <c r="H133" i="2"/>
  <c r="I133" i="2"/>
  <c r="J133" i="2"/>
  <c r="G134" i="2"/>
  <c r="H134" i="2"/>
  <c r="I134" i="2"/>
  <c r="J134" i="2"/>
  <c r="G135" i="2"/>
  <c r="H135" i="2"/>
  <c r="I135" i="2"/>
  <c r="J135" i="2"/>
  <c r="G136" i="2"/>
  <c r="H136" i="2"/>
  <c r="I136" i="2"/>
  <c r="J136" i="2"/>
  <c r="G137" i="2"/>
  <c r="H137" i="2"/>
  <c r="I137" i="2"/>
  <c r="J137" i="2"/>
  <c r="G138" i="2"/>
  <c r="H138" i="2"/>
  <c r="I138" i="2"/>
  <c r="J138" i="2"/>
  <c r="G139" i="2"/>
  <c r="H139" i="2"/>
  <c r="I139" i="2"/>
  <c r="J139" i="2"/>
  <c r="G140" i="2"/>
  <c r="H140" i="2"/>
  <c r="I140" i="2"/>
  <c r="J140" i="2"/>
  <c r="G141" i="2"/>
  <c r="H141" i="2"/>
  <c r="I141" i="2"/>
  <c r="J141" i="2"/>
  <c r="G142" i="2"/>
  <c r="H142" i="2"/>
  <c r="I142" i="2"/>
  <c r="J142" i="2"/>
  <c r="G143" i="2"/>
  <c r="H143" i="2"/>
  <c r="I143" i="2"/>
  <c r="J143" i="2"/>
  <c r="G144" i="2"/>
  <c r="H144" i="2"/>
  <c r="I144" i="2"/>
  <c r="J144" i="2"/>
  <c r="G145" i="2"/>
  <c r="H145" i="2"/>
  <c r="I145" i="2"/>
  <c r="J145" i="2"/>
  <c r="G146" i="2"/>
  <c r="H146" i="2"/>
  <c r="I146" i="2"/>
  <c r="J146" i="2"/>
  <c r="G147" i="2"/>
  <c r="H147" i="2"/>
  <c r="I147" i="2"/>
  <c r="J147" i="2"/>
  <c r="G148" i="2"/>
  <c r="H148" i="2"/>
  <c r="I148" i="2"/>
  <c r="J148" i="2"/>
  <c r="G149" i="2"/>
  <c r="H149" i="2"/>
  <c r="I149" i="2"/>
  <c r="J149" i="2"/>
  <c r="G150" i="2"/>
  <c r="H150" i="2"/>
  <c r="I150" i="2"/>
  <c r="J150" i="2"/>
  <c r="G151" i="2"/>
  <c r="H151" i="2"/>
  <c r="I151" i="2"/>
  <c r="J151" i="2"/>
  <c r="G152" i="2"/>
  <c r="H152" i="2"/>
  <c r="I152" i="2"/>
  <c r="J152" i="2"/>
  <c r="G153" i="2"/>
  <c r="H153" i="2"/>
  <c r="I153" i="2"/>
  <c r="J153" i="2"/>
  <c r="G154" i="2"/>
  <c r="H154" i="2"/>
  <c r="I154" i="2"/>
  <c r="J154" i="2"/>
  <c r="G155" i="2"/>
  <c r="H155" i="2"/>
  <c r="I155" i="2"/>
  <c r="J155" i="2"/>
  <c r="G156" i="2"/>
  <c r="H156" i="2"/>
  <c r="I156" i="2"/>
  <c r="J156" i="2"/>
  <c r="G157" i="2"/>
  <c r="H157" i="2"/>
  <c r="I157" i="2"/>
  <c r="J157" i="2"/>
  <c r="G158" i="2"/>
  <c r="H158" i="2"/>
  <c r="I158" i="2"/>
  <c r="J158" i="2"/>
  <c r="G159" i="2"/>
  <c r="H159" i="2"/>
  <c r="I159" i="2"/>
  <c r="J159" i="2"/>
  <c r="G160" i="2"/>
  <c r="H160" i="2"/>
  <c r="I160" i="2"/>
  <c r="J160" i="2"/>
  <c r="G161" i="2"/>
  <c r="H161" i="2"/>
  <c r="I161" i="2"/>
  <c r="J161" i="2"/>
  <c r="G162" i="2"/>
  <c r="H162" i="2"/>
  <c r="I162" i="2"/>
  <c r="J162" i="2"/>
  <c r="G163" i="2"/>
  <c r="H163" i="2"/>
  <c r="I163" i="2"/>
  <c r="J163" i="2"/>
  <c r="G164" i="2"/>
  <c r="H164" i="2"/>
  <c r="I164" i="2"/>
  <c r="J164" i="2"/>
  <c r="G165" i="2"/>
  <c r="H165" i="2"/>
  <c r="I165" i="2"/>
  <c r="J165" i="2"/>
  <c r="G166" i="2"/>
  <c r="H166" i="2"/>
  <c r="I166" i="2"/>
  <c r="J166" i="2"/>
  <c r="G167" i="2"/>
  <c r="H167" i="2"/>
  <c r="I167" i="2"/>
  <c r="J167" i="2"/>
  <c r="G168" i="2"/>
  <c r="H168" i="2"/>
  <c r="I168" i="2"/>
  <c r="J168" i="2"/>
  <c r="G169" i="2"/>
  <c r="H169" i="2"/>
  <c r="I169" i="2"/>
  <c r="J169" i="2"/>
  <c r="G170" i="2"/>
  <c r="H170" i="2"/>
  <c r="I170" i="2"/>
  <c r="J170" i="2"/>
  <c r="G171" i="2"/>
  <c r="H171" i="2"/>
  <c r="I171" i="2"/>
  <c r="J171" i="2"/>
  <c r="G172" i="2"/>
  <c r="H172" i="2"/>
  <c r="I172" i="2"/>
  <c r="J172" i="2"/>
  <c r="G173" i="2"/>
  <c r="H173" i="2"/>
  <c r="I173" i="2"/>
  <c r="J173" i="2"/>
  <c r="G174" i="2"/>
  <c r="H174" i="2"/>
  <c r="I174" i="2"/>
  <c r="J174" i="2"/>
  <c r="G175" i="2"/>
  <c r="H175" i="2"/>
  <c r="I175" i="2"/>
  <c r="J175" i="2"/>
  <c r="G176" i="2"/>
  <c r="H176" i="2"/>
  <c r="I176" i="2"/>
  <c r="J176" i="2"/>
  <c r="G177" i="2"/>
  <c r="H177" i="2"/>
  <c r="I177" i="2"/>
  <c r="J177" i="2"/>
  <c r="G178" i="2"/>
  <c r="H178" i="2"/>
  <c r="I178" i="2"/>
  <c r="J178" i="2"/>
  <c r="G179" i="2"/>
  <c r="H179" i="2"/>
  <c r="I179" i="2"/>
  <c r="J179" i="2"/>
  <c r="G180" i="2"/>
  <c r="H180" i="2"/>
  <c r="I180" i="2"/>
  <c r="J180" i="2"/>
  <c r="G181" i="2"/>
  <c r="H181" i="2"/>
  <c r="I181" i="2"/>
  <c r="J181" i="2"/>
  <c r="G182" i="2"/>
  <c r="H182" i="2"/>
  <c r="I182" i="2"/>
  <c r="J182" i="2"/>
  <c r="G183" i="2"/>
  <c r="H183" i="2"/>
  <c r="I183" i="2"/>
  <c r="J183" i="2"/>
  <c r="G184" i="2"/>
  <c r="H184" i="2"/>
  <c r="I184" i="2"/>
  <c r="J184" i="2"/>
  <c r="G185" i="2"/>
  <c r="H185" i="2"/>
  <c r="I185" i="2"/>
  <c r="J185" i="2"/>
  <c r="G186" i="2"/>
  <c r="H186" i="2"/>
  <c r="I186" i="2"/>
  <c r="J186" i="2"/>
  <c r="G187" i="2"/>
  <c r="H187" i="2"/>
  <c r="I187" i="2"/>
  <c r="J187" i="2"/>
  <c r="G188" i="2"/>
  <c r="H188" i="2"/>
  <c r="I188" i="2"/>
  <c r="J188" i="2"/>
  <c r="G189" i="2"/>
  <c r="H189" i="2"/>
  <c r="I189" i="2"/>
  <c r="J189" i="2"/>
  <c r="G190" i="2"/>
  <c r="H190" i="2"/>
  <c r="I190" i="2"/>
  <c r="J190" i="2"/>
  <c r="G191" i="2"/>
  <c r="H191" i="2"/>
  <c r="I191" i="2"/>
  <c r="J191" i="2"/>
  <c r="G192" i="2"/>
  <c r="H192" i="2"/>
  <c r="I192" i="2"/>
  <c r="J192" i="2"/>
  <c r="G193" i="2"/>
  <c r="H193" i="2"/>
  <c r="I193" i="2"/>
  <c r="J193" i="2"/>
  <c r="G194" i="2"/>
  <c r="H194" i="2"/>
  <c r="I194" i="2"/>
  <c r="J194" i="2"/>
  <c r="G195" i="2"/>
  <c r="H195" i="2"/>
  <c r="I195" i="2"/>
  <c r="J195" i="2"/>
  <c r="G196" i="2"/>
  <c r="H196" i="2"/>
  <c r="I196" i="2"/>
  <c r="J196" i="2"/>
  <c r="G197" i="2"/>
  <c r="H197" i="2"/>
  <c r="I197" i="2"/>
  <c r="J197" i="2"/>
  <c r="G198" i="2"/>
  <c r="H198" i="2"/>
  <c r="I198" i="2"/>
  <c r="J198" i="2"/>
  <c r="G199" i="2"/>
  <c r="H199" i="2"/>
  <c r="I199" i="2"/>
  <c r="J199" i="2"/>
  <c r="G200" i="2"/>
  <c r="H200" i="2"/>
  <c r="I200" i="2"/>
  <c r="J200" i="2"/>
  <c r="G201" i="2"/>
  <c r="H201" i="2"/>
  <c r="I201" i="2"/>
  <c r="J201" i="2"/>
  <c r="G202" i="2"/>
  <c r="H202" i="2"/>
  <c r="I202" i="2"/>
  <c r="J202" i="2"/>
  <c r="G203" i="2"/>
  <c r="H203" i="2"/>
  <c r="I203" i="2"/>
  <c r="J203" i="2"/>
  <c r="G204" i="2"/>
  <c r="H204" i="2"/>
  <c r="I204" i="2"/>
  <c r="J204" i="2"/>
  <c r="G205" i="2"/>
  <c r="H205" i="2"/>
  <c r="I205" i="2"/>
  <c r="J205" i="2"/>
  <c r="G206" i="2"/>
  <c r="H206" i="2"/>
  <c r="I206" i="2"/>
  <c r="J206" i="2"/>
  <c r="G207" i="2"/>
  <c r="H207" i="2"/>
  <c r="I207" i="2"/>
  <c r="J207" i="2"/>
  <c r="G208" i="2"/>
  <c r="H208" i="2"/>
  <c r="I208" i="2"/>
  <c r="J208" i="2"/>
  <c r="G209" i="2"/>
  <c r="H209" i="2"/>
  <c r="I209" i="2"/>
  <c r="J209" i="2"/>
  <c r="I2" i="2"/>
  <c r="J2" i="2"/>
  <c r="H2" i="2"/>
  <c r="G2" i="2"/>
  <c r="K4" i="15"/>
  <c r="L4" i="15"/>
  <c r="H4" i="15"/>
  <c r="F4" i="15"/>
  <c r="C4" i="15"/>
  <c r="C23" i="15" a="1"/>
  <c r="C23" i="15" s="1"/>
  <c r="I5" i="15"/>
  <c r="I4" i="15"/>
  <c r="D4" i="15"/>
  <c r="D5" i="15"/>
  <c r="F7" i="3"/>
  <c r="F20" i="14"/>
  <c r="R20" i="17" l="1"/>
  <c r="R19" i="17"/>
  <c r="R18" i="17"/>
  <c r="R17" i="17"/>
  <c r="R16" i="17"/>
  <c r="Q20" i="17"/>
  <c r="Q19" i="17"/>
  <c r="Q18" i="17"/>
  <c r="Q17" i="17"/>
  <c r="Q16" i="17"/>
  <c r="P20" i="17"/>
  <c r="P19" i="17"/>
  <c r="P18" i="17"/>
  <c r="P17" i="17"/>
  <c r="P16" i="17"/>
  <c r="O20" i="17"/>
  <c r="O19" i="17"/>
  <c r="O18" i="17"/>
  <c r="O17" i="17"/>
  <c r="R8" i="17"/>
  <c r="R5" i="17"/>
  <c r="Q5" i="17"/>
  <c r="P9" i="17"/>
  <c r="P8" i="17"/>
  <c r="P7" i="17"/>
  <c r="P6" i="17"/>
  <c r="P5" i="17"/>
  <c r="R9" i="17"/>
  <c r="R7" i="17"/>
  <c r="R6" i="17"/>
  <c r="Q9" i="17"/>
  <c r="Q8" i="17"/>
  <c r="Q7" i="17"/>
  <c r="Q6" i="17"/>
  <c r="O9" i="17"/>
  <c r="O8" i="17"/>
  <c r="O7" i="17"/>
  <c r="O6" i="17"/>
  <c r="J24" i="15"/>
  <c r="J26" i="15"/>
  <c r="J23" i="15"/>
  <c r="J25" i="15"/>
  <c r="J27" i="15"/>
  <c r="I24" i="15"/>
  <c r="I26" i="15"/>
  <c r="I23" i="15"/>
  <c r="I25" i="15"/>
  <c r="C5" i="15"/>
  <c r="L5" i="15"/>
  <c r="H5" i="15"/>
  <c r="K5" i="15"/>
  <c r="D26" i="15"/>
  <c r="D24" i="15"/>
  <c r="C26" i="15"/>
  <c r="C24" i="15"/>
  <c r="D25" i="15"/>
  <c r="D23" i="15"/>
  <c r="D27" i="15"/>
  <c r="C27" i="15"/>
  <c r="C25" i="15"/>
  <c r="C24" i="14"/>
  <c r="J14" i="14"/>
  <c r="R13" i="14" s="1"/>
  <c r="K15" i="14"/>
  <c r="S14" i="14" s="1"/>
  <c r="L16" i="14"/>
  <c r="T15" i="14" s="1"/>
  <c r="E20" i="14" s="1" a="1"/>
  <c r="E20" i="14" s="1"/>
  <c r="K16" i="14"/>
  <c r="T14" i="14" s="1"/>
  <c r="J16" i="14"/>
  <c r="T13" i="14" s="1"/>
  <c r="J15" i="14"/>
  <c r="S13" i="14" s="1"/>
  <c r="M16" i="14"/>
  <c r="L15" i="14"/>
  <c r="K14" i="14"/>
  <c r="J13" i="14"/>
  <c r="E11" i="13" l="1"/>
  <c r="D8" i="13"/>
  <c r="F8" i="13" s="1"/>
  <c r="D9" i="13"/>
  <c r="F9" i="13" s="1"/>
  <c r="D10" i="13"/>
  <c r="F10" i="13" s="1"/>
  <c r="D7" i="13"/>
  <c r="D11" i="13" l="1" a="1"/>
  <c r="D11" i="13" s="1"/>
  <c r="F7" i="13"/>
  <c r="F11" i="13" s="1"/>
  <c r="E3" i="11"/>
  <c r="E4" i="11" s="1"/>
  <c r="E3" i="10"/>
  <c r="E4" i="10" s="1"/>
  <c r="E3" i="9"/>
  <c r="E4" i="9" s="1"/>
  <c r="E3" i="12"/>
  <c r="E4" i="12" s="1"/>
  <c r="K3" i="12"/>
  <c r="K3" i="11"/>
  <c r="K3" i="10"/>
  <c r="K3" i="9"/>
  <c r="H3" i="12"/>
  <c r="H4" i="12" s="1"/>
  <c r="H3" i="11"/>
  <c r="H4" i="11" s="1"/>
  <c r="H3" i="10"/>
  <c r="H4" i="10" s="1"/>
  <c r="H3" i="9"/>
  <c r="H4" i="9" s="1"/>
  <c r="D6" i="4" l="1" a="1"/>
  <c r="D6" i="4" s="1"/>
  <c r="C6" i="4" a="1"/>
  <c r="C6" i="4" s="1"/>
  <c r="D5" i="4" a="1"/>
  <c r="D5" i="4" s="1"/>
  <c r="C5" i="4" a="1"/>
  <c r="C5" i="4" s="1"/>
  <c r="E5" i="4" a="1"/>
  <c r="E5" i="4" s="1"/>
  <c r="E6" i="4" a="1"/>
  <c r="E6" i="4" s="1"/>
  <c r="E8" i="4" l="1"/>
  <c r="E7" i="4"/>
  <c r="D8" i="4" l="1"/>
  <c r="C8" i="4"/>
  <c r="D7" i="4"/>
  <c r="C7" i="4"/>
  <c r="B40" i="3" l="1"/>
  <c r="B34" i="3"/>
  <c r="B35" i="3"/>
  <c r="B36" i="3" s="1"/>
  <c r="B37" i="3" s="1"/>
  <c r="B38" i="3" s="1"/>
  <c r="B39" i="3" s="1"/>
  <c r="B27" i="3"/>
  <c r="B28" i="3"/>
  <c r="B29" i="3" s="1"/>
  <c r="B30" i="3" s="1"/>
  <c r="B31" i="3" s="1"/>
  <c r="B32" i="3" s="1"/>
  <c r="B33" i="3" s="1"/>
  <c r="B22" i="3"/>
  <c r="B23" i="3"/>
  <c r="B24" i="3"/>
  <c r="B25" i="3"/>
  <c r="B26" i="3" s="1"/>
  <c r="B17" i="3"/>
  <c r="B18" i="3"/>
  <c r="B19" i="3" s="1"/>
  <c r="B20" i="3" s="1"/>
  <c r="B21" i="3" s="1"/>
  <c r="B16" i="3"/>
  <c r="I6" i="3" l="1"/>
  <c r="D14" i="3" s="1"/>
  <c r="C41" i="3"/>
  <c r="E6" i="3" l="1"/>
  <c r="E7" i="3"/>
  <c r="C14" i="3" l="1"/>
</calcChain>
</file>

<file path=xl/comments1.xml><?xml version="1.0" encoding="utf-8"?>
<comments xmlns="http://schemas.openxmlformats.org/spreadsheetml/2006/main">
  <authors>
    <author>Trang Nguyen</author>
  </authors>
  <commentList>
    <comment ref="B19" authorId="0" shapeId="0">
      <text>
        <r>
          <rPr>
            <b/>
            <sz val="9"/>
            <color indexed="81"/>
            <rFont val="Tahoma"/>
            <family val="2"/>
          </rPr>
          <t>Trang Nguyen:</t>
        </r>
        <r>
          <rPr>
            <sz val="9"/>
            <color indexed="81"/>
            <rFont val="Tahoma"/>
            <family val="2"/>
          </rPr>
          <t xml:space="preserve">
You need at least 5 rows and 2 columns; if you have more than 1 x, you need extra column for each extra variable.
The last column is for Intercept.  </t>
        </r>
      </text>
    </comment>
    <comment ref="H19" authorId="0" shapeId="0">
      <text>
        <r>
          <rPr>
            <b/>
            <sz val="9"/>
            <color indexed="81"/>
            <rFont val="Tahoma"/>
            <family val="2"/>
          </rPr>
          <t>Trang Nguyen:</t>
        </r>
        <r>
          <rPr>
            <sz val="9"/>
            <color indexed="81"/>
            <rFont val="Tahoma"/>
            <family val="2"/>
          </rPr>
          <t xml:space="preserve">
You need at least 5 rows and 2 columns; if you have more than 1 x, you need extra column for each extra variable.
The last column is for Intercept.  </t>
        </r>
      </text>
    </comment>
  </commentList>
</comments>
</file>

<file path=xl/sharedStrings.xml><?xml version="1.0" encoding="utf-8"?>
<sst xmlns="http://schemas.openxmlformats.org/spreadsheetml/2006/main" count="386" uniqueCount="118">
  <si>
    <t>Mkt-RF</t>
  </si>
  <si>
    <t>SMB</t>
  </si>
  <si>
    <t>HML</t>
  </si>
  <si>
    <t>RF</t>
  </si>
  <si>
    <t>Date</t>
  </si>
  <si>
    <t>BIIB</t>
  </si>
  <si>
    <t>BNCN</t>
  </si>
  <si>
    <t>CELG</t>
  </si>
  <si>
    <t>MCHP</t>
  </si>
  <si>
    <t>Stock1 Weight</t>
  </si>
  <si>
    <t>Covariance</t>
  </si>
  <si>
    <t>Correlation</t>
  </si>
  <si>
    <t>Portfolio Standard Deviation</t>
  </si>
  <si>
    <t>Stock1 Standard Deviation</t>
  </si>
  <si>
    <t>Stock2 Standard Deviation</t>
  </si>
  <si>
    <t>Portfolio Sigma</t>
  </si>
  <si>
    <t>Expected Return</t>
  </si>
  <si>
    <t>Table1: Portfolio Standard Deviation and Expected Return change as Stock1 Weight changes</t>
  </si>
  <si>
    <t>Weekly Mean</t>
  </si>
  <si>
    <t>Weekly Std Dev</t>
  </si>
  <si>
    <t>Annual Mean</t>
  </si>
  <si>
    <t>Annual Std Dev</t>
  </si>
  <si>
    <t>Firm Size Factor</t>
  </si>
  <si>
    <t>Book-to-Market Factor</t>
  </si>
  <si>
    <t>Market Premium</t>
  </si>
  <si>
    <t>Risk Premium</t>
  </si>
  <si>
    <t>Std Dev</t>
  </si>
  <si>
    <t>Regression Statistics</t>
  </si>
  <si>
    <t>Multiple R</t>
  </si>
  <si>
    <t>R Square</t>
  </si>
  <si>
    <t>Adjusted R Square</t>
  </si>
  <si>
    <t>Standard Error</t>
  </si>
  <si>
    <t>Observations</t>
  </si>
  <si>
    <t>ANOVA</t>
  </si>
  <si>
    <t>Regression</t>
  </si>
  <si>
    <t>Residual</t>
  </si>
  <si>
    <t>Total</t>
  </si>
  <si>
    <t>Intercept</t>
  </si>
  <si>
    <t>df</t>
  </si>
  <si>
    <t>SS</t>
  </si>
  <si>
    <t>MS</t>
  </si>
  <si>
    <t>F</t>
  </si>
  <si>
    <t>Significance F</t>
  </si>
  <si>
    <t>Coefficients</t>
  </si>
  <si>
    <t>t Stat</t>
  </si>
  <si>
    <t>P-value</t>
  </si>
  <si>
    <t>Lower 95%</t>
  </si>
  <si>
    <t>Upper 95%</t>
  </si>
  <si>
    <t>Lower 95.0%</t>
  </si>
  <si>
    <t>Upper 95.0%</t>
  </si>
  <si>
    <t>RESIDUAL OUTPUT</t>
  </si>
  <si>
    <t>Observation</t>
  </si>
  <si>
    <t>Residuals</t>
  </si>
  <si>
    <t>Weekly Sigma</t>
  </si>
  <si>
    <t>Annual Sigma</t>
  </si>
  <si>
    <t>Beta_Mkt-RF</t>
  </si>
  <si>
    <t>Annual Residual SE</t>
  </si>
  <si>
    <t>Weekly SE</t>
  </si>
  <si>
    <t>Risk -free Rate</t>
  </si>
  <si>
    <t>Market Risk Premium</t>
  </si>
  <si>
    <t>Beta</t>
  </si>
  <si>
    <t>Market Premium Beta</t>
  </si>
  <si>
    <t>Weight</t>
  </si>
  <si>
    <t>Portfolio</t>
  </si>
  <si>
    <t>Return</t>
  </si>
  <si>
    <t>Portfolio Expected Return</t>
  </si>
  <si>
    <t>Correlation for the returns on CELG, BIIB, MCHP and BNCN</t>
  </si>
  <si>
    <t>Covariance for the returns on CELG, BIIB, MCHP and BNCN</t>
  </si>
  <si>
    <t>Decimal Weekly Var-Cov Matrix</t>
  </si>
  <si>
    <t>X'VX =</t>
  </si>
  <si>
    <t>Slope</t>
  </si>
  <si>
    <t>Slope (Beta)---&gt;</t>
  </si>
  <si>
    <t>&lt;--Intercept</t>
  </si>
  <si>
    <t>SE for Slope---&gt;</t>
  </si>
  <si>
    <t>&lt;--SE Intercept</t>
  </si>
  <si>
    <t>RSQ for Regression---&gt;</t>
  </si>
  <si>
    <t>&lt;---SE of Regression</t>
  </si>
  <si>
    <t>F Statistic Regression---&gt;</t>
  </si>
  <si>
    <t>&lt;---Degrees of Freedom</t>
  </si>
  <si>
    <t>Slope*Sumproduct(xy)---&gt;</t>
  </si>
  <si>
    <t>&lt;---SSE</t>
  </si>
  <si>
    <t>Use of Excel Function LINEST to Estimate Beta for BIIB</t>
  </si>
  <si>
    <t>Use of Excel Function LINEST to Estimate Beta for BNCN</t>
  </si>
  <si>
    <t>Use of Excel Function LINEST to Estimate Beta for CELG</t>
  </si>
  <si>
    <t>Use of Excel Function LINEST to Estimate Beta for MCHP</t>
  </si>
  <si>
    <t>Dec2012-Nov2014</t>
  </si>
  <si>
    <t>Dec2014-Nov2016</t>
  </si>
  <si>
    <t>Betas</t>
  </si>
  <si>
    <t>t-statistics</t>
  </si>
  <si>
    <t>R-square</t>
  </si>
  <si>
    <t>Residual Std Error</t>
  </si>
  <si>
    <t>Beta Mkt-RF</t>
  </si>
  <si>
    <t>BIIB-Rf</t>
  </si>
  <si>
    <t>BNCN-Rf</t>
  </si>
  <si>
    <t>CELG-Rf</t>
  </si>
  <si>
    <t>MCHP-Rf</t>
  </si>
  <si>
    <t>Predicted BNCN-Rf</t>
  </si>
  <si>
    <t>Predicted BIIB-Rf</t>
  </si>
  <si>
    <t>Predicted CELG-Rf</t>
  </si>
  <si>
    <t>Predicted MCHP-Rf</t>
  </si>
  <si>
    <t xml:space="preserve">Correlation of Residuals </t>
  </si>
  <si>
    <t>Dec2012-Nov2016</t>
  </si>
  <si>
    <t>SUMMARY OUTPUT for BNCN</t>
  </si>
  <si>
    <t>SUMMARY OUTPUT CELG</t>
  </si>
  <si>
    <t>SUMMARY OUTPUT for BIIB</t>
  </si>
  <si>
    <t>SUMMARY OUTPUT for MCHP</t>
  </si>
  <si>
    <t>Annualized</t>
  </si>
  <si>
    <t>Residual SE</t>
  </si>
  <si>
    <t>vs 23.37 for CAPM</t>
  </si>
  <si>
    <t>vs 24.68 for CAPM</t>
  </si>
  <si>
    <t>vs CAPM Beta_Mkt-RF</t>
  </si>
  <si>
    <t>SUMMARY OUTPUT for CELG</t>
  </si>
  <si>
    <t xml:space="preserve">         vs 0.145 for CAPM</t>
  </si>
  <si>
    <t xml:space="preserve">         vs 0.31 for CAPM</t>
  </si>
  <si>
    <t xml:space="preserve">Stock1 </t>
  </si>
  <si>
    <t xml:space="preserve">Stock2 </t>
  </si>
  <si>
    <t xml:space="preserve">Portfolio </t>
  </si>
  <si>
    <t>Large Cap Stock 1953-2016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</si>
</sst>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"/>
    <numFmt numFmtId="165" formatCode="0.000%"/>
    <numFmt numFmtId="166" formatCode="0.000"/>
    <numFmt numFmtId="167" formatCode="0.0000E+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1" xfId="0" applyBorder="1"/>
    <xf numFmtId="9" fontId="0" fillId="0" borderId="1" xfId="1" applyFont="1" applyBorder="1"/>
    <xf numFmtId="0" fontId="0" fillId="0" borderId="1" xfId="0" applyBorder="1" applyAlignment="1">
      <alignment horizontal="center"/>
    </xf>
    <xf numFmtId="9" fontId="0" fillId="0" borderId="1" xfId="0" applyNumberFormat="1" applyBorder="1"/>
    <xf numFmtId="10" fontId="0" fillId="0" borderId="1" xfId="1" applyNumberFormat="1" applyFont="1" applyBorder="1"/>
    <xf numFmtId="10" fontId="0" fillId="0" borderId="1" xfId="0" applyNumberFormat="1" applyBorder="1"/>
    <xf numFmtId="0" fontId="0" fillId="0" borderId="0" xfId="0" applyBorder="1" applyAlignment="1">
      <alignment horizontal="center"/>
    </xf>
    <xf numFmtId="9" fontId="0" fillId="0" borderId="0" xfId="1" applyFont="1" applyBorder="1"/>
    <xf numFmtId="0" fontId="0" fillId="0" borderId="1" xfId="0" applyFill="1" applyBorder="1" applyAlignment="1">
      <alignment horizontal="center"/>
    </xf>
    <xf numFmtId="10" fontId="0" fillId="0" borderId="1" xfId="1" applyNumberFormat="1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10" fontId="0" fillId="0" borderId="0" xfId="1" applyNumberFormat="1" applyFont="1" applyBorder="1" applyAlignment="1"/>
    <xf numFmtId="10" fontId="0" fillId="0" borderId="0" xfId="1" applyNumberFormat="1" applyFont="1" applyFill="1" applyBorder="1" applyAlignment="1">
      <alignment horizontal="center"/>
    </xf>
    <xf numFmtId="10" fontId="0" fillId="0" borderId="0" xfId="1" applyNumberFormat="1" applyFont="1" applyBorder="1"/>
    <xf numFmtId="0" fontId="0" fillId="0" borderId="0" xfId="0" applyFill="1" applyBorder="1" applyAlignment="1"/>
    <xf numFmtId="0" fontId="0" fillId="0" borderId="4" xfId="0" applyFill="1" applyBorder="1" applyAlignment="1"/>
    <xf numFmtId="0" fontId="3" fillId="0" borderId="5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Continuous"/>
    </xf>
    <xf numFmtId="0" fontId="2" fillId="0" borderId="4" xfId="0" applyFont="1" applyFill="1" applyBorder="1" applyAlignment="1"/>
    <xf numFmtId="0" fontId="4" fillId="0" borderId="5" xfId="0" applyFont="1" applyFill="1" applyBorder="1" applyAlignment="1">
      <alignment horizontal="center"/>
    </xf>
    <xf numFmtId="164" fontId="0" fillId="0" borderId="0" xfId="0" applyNumberFormat="1"/>
    <xf numFmtId="2" fontId="0" fillId="0" borderId="0" xfId="0" applyNumberFormat="1"/>
    <xf numFmtId="165" fontId="0" fillId="0" borderId="1" xfId="1" applyNumberFormat="1" applyFont="1" applyBorder="1"/>
    <xf numFmtId="0" fontId="0" fillId="0" borderId="1" xfId="0" applyBorder="1" applyAlignment="1">
      <alignment horizontal="left"/>
    </xf>
    <xf numFmtId="2" fontId="5" fillId="0" borderId="1" xfId="0" applyNumberFormat="1" applyFont="1" applyFill="1" applyBorder="1" applyAlignment="1">
      <alignment horizontal="right"/>
    </xf>
    <xf numFmtId="10" fontId="0" fillId="0" borderId="1" xfId="1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164" fontId="0" fillId="0" borderId="1" xfId="0" applyNumberFormat="1" applyBorder="1" applyAlignment="1">
      <alignment horizontal="right"/>
    </xf>
    <xf numFmtId="10" fontId="2" fillId="0" borderId="1" xfId="1" applyNumberFormat="1" applyFont="1" applyBorder="1" applyAlignment="1">
      <alignment horizontal="right"/>
    </xf>
    <xf numFmtId="9" fontId="0" fillId="0" borderId="1" xfId="1" applyFont="1" applyBorder="1" applyAlignment="1">
      <alignment horizontal="right"/>
    </xf>
    <xf numFmtId="164" fontId="0" fillId="0" borderId="2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8" xfId="0" applyBorder="1"/>
    <xf numFmtId="0" fontId="0" fillId="0" borderId="0" xfId="0" applyBorder="1"/>
    <xf numFmtId="0" fontId="0" fillId="0" borderId="16" xfId="0" applyBorder="1"/>
    <xf numFmtId="0" fontId="7" fillId="0" borderId="8" xfId="0" applyFont="1" applyBorder="1" applyAlignment="1">
      <alignment horizontal="right"/>
    </xf>
    <xf numFmtId="0" fontId="0" fillId="0" borderId="8" xfId="0" applyBorder="1" applyAlignment="1">
      <alignment horizontal="right"/>
    </xf>
    <xf numFmtId="1" fontId="0" fillId="0" borderId="16" xfId="0" applyNumberFormat="1" applyBorder="1" applyAlignment="1">
      <alignment horizontal="center"/>
    </xf>
    <xf numFmtId="0" fontId="0" fillId="0" borderId="13" xfId="0" applyBorder="1" applyAlignment="1">
      <alignment horizontal="right"/>
    </xf>
    <xf numFmtId="166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66" fontId="0" fillId="0" borderId="14" xfId="0" applyNumberFormat="1" applyBorder="1" applyAlignment="1">
      <alignment horizontal="center"/>
    </xf>
    <xf numFmtId="0" fontId="0" fillId="2" borderId="0" xfId="0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0" borderId="1" xfId="0" applyBorder="1" applyAlignment="1"/>
    <xf numFmtId="2" fontId="0" fillId="2" borderId="0" xfId="1" applyNumberFormat="1" applyFont="1" applyFill="1" applyAlignment="1">
      <alignment horizontal="center"/>
    </xf>
    <xf numFmtId="14" fontId="0" fillId="0" borderId="0" xfId="0" applyNumberFormat="1" applyFill="1" applyAlignment="1">
      <alignment horizontal="center"/>
    </xf>
    <xf numFmtId="2" fontId="0" fillId="0" borderId="0" xfId="1" applyNumberFormat="1" applyFont="1" applyFill="1" applyAlignment="1">
      <alignment horizontal="center"/>
    </xf>
    <xf numFmtId="0" fontId="5" fillId="0" borderId="4" xfId="0" applyFont="1" applyFill="1" applyBorder="1" applyAlignment="1"/>
    <xf numFmtId="0" fontId="3" fillId="0" borderId="6" xfId="0" applyFont="1" applyFill="1" applyBorder="1" applyAlignment="1">
      <alignment horizontal="center"/>
    </xf>
    <xf numFmtId="0" fontId="0" fillId="0" borderId="0" xfId="0" applyBorder="1" applyAlignment="1"/>
    <xf numFmtId="0" fontId="0" fillId="0" borderId="16" xfId="0" applyBorder="1" applyAlignment="1">
      <alignment horizontal="center"/>
    </xf>
    <xf numFmtId="0" fontId="0" fillId="0" borderId="7" xfId="0" applyBorder="1" applyAlignment="1">
      <alignment horizontal="center"/>
    </xf>
    <xf numFmtId="0" fontId="7" fillId="0" borderId="0" xfId="0" applyFont="1" applyAlignment="1">
      <alignment horizontal="center"/>
    </xf>
    <xf numFmtId="166" fontId="0" fillId="0" borderId="0" xfId="0" applyNumberFormat="1" applyAlignment="1">
      <alignment horizontal="center"/>
    </xf>
    <xf numFmtId="2" fontId="7" fillId="0" borderId="0" xfId="0" applyNumberFormat="1" applyFont="1" applyAlignment="1">
      <alignment horizontal="center"/>
    </xf>
    <xf numFmtId="0" fontId="2" fillId="0" borderId="1" xfId="0" applyFont="1" applyFill="1" applyBorder="1" applyAlignment="1"/>
    <xf numFmtId="0" fontId="2" fillId="0" borderId="1" xfId="0" applyFont="1" applyBorder="1"/>
    <xf numFmtId="0" fontId="0" fillId="0" borderId="0" xfId="0" applyFill="1" applyBorder="1" applyAlignment="1">
      <alignment horizontal="left"/>
    </xf>
    <xf numFmtId="164" fontId="7" fillId="0" borderId="8" xfId="0" applyNumberFormat="1" applyFont="1" applyBorder="1" applyAlignment="1">
      <alignment horizontal="right"/>
    </xf>
    <xf numFmtId="164" fontId="7" fillId="0" borderId="24" xfId="0" applyNumberFormat="1" applyFont="1" applyBorder="1" applyAlignment="1">
      <alignment horizontal="center"/>
    </xf>
    <xf numFmtId="164" fontId="0" fillId="0" borderId="8" xfId="0" applyNumberFormat="1" applyBorder="1" applyAlignment="1">
      <alignment horizontal="right"/>
    </xf>
    <xf numFmtId="164" fontId="0" fillId="0" borderId="25" xfId="0" applyNumberFormat="1" applyBorder="1" applyAlignment="1">
      <alignment horizontal="center"/>
    </xf>
    <xf numFmtId="164" fontId="0" fillId="0" borderId="13" xfId="0" applyNumberFormat="1" applyBorder="1" applyAlignment="1">
      <alignment horizontal="right"/>
    </xf>
    <xf numFmtId="164" fontId="0" fillId="0" borderId="9" xfId="0" applyNumberFormat="1" applyBorder="1" applyAlignment="1">
      <alignment horizontal="center"/>
    </xf>
    <xf numFmtId="164" fontId="0" fillId="0" borderId="10" xfId="0" applyNumberFormat="1" applyBorder="1"/>
    <xf numFmtId="164" fontId="0" fillId="0" borderId="11" xfId="0" applyNumberFormat="1" applyBorder="1"/>
    <xf numFmtId="164" fontId="0" fillId="0" borderId="12" xfId="0" applyNumberFormat="1" applyBorder="1"/>
    <xf numFmtId="164" fontId="0" fillId="0" borderId="8" xfId="0" applyNumberFormat="1" applyBorder="1"/>
    <xf numFmtId="164" fontId="0" fillId="0" borderId="7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164" fontId="0" fillId="0" borderId="0" xfId="0" applyNumberFormat="1" applyBorder="1"/>
    <xf numFmtId="164" fontId="0" fillId="0" borderId="16" xfId="0" applyNumberFormat="1" applyBorder="1"/>
    <xf numFmtId="167" fontId="0" fillId="0" borderId="0" xfId="0" applyNumberFormat="1" applyFill="1" applyBorder="1" applyAlignment="1"/>
    <xf numFmtId="167" fontId="0" fillId="0" borderId="4" xfId="0" applyNumberFormat="1" applyFill="1" applyBorder="1" applyAlignment="1"/>
    <xf numFmtId="164" fontId="0" fillId="0" borderId="0" xfId="0" applyNumberFormat="1" applyFill="1" applyBorder="1" applyAlignment="1"/>
    <xf numFmtId="164" fontId="2" fillId="0" borderId="0" xfId="0" applyNumberFormat="1" applyFont="1" applyFill="1" applyBorder="1" applyAlignment="1"/>
    <xf numFmtId="164" fontId="2" fillId="0" borderId="4" xfId="0" applyNumberFormat="1" applyFont="1" applyFill="1" applyBorder="1" applyAlignment="1"/>
    <xf numFmtId="164" fontId="2" fillId="0" borderId="1" xfId="0" applyNumberFormat="1" applyFont="1" applyBorder="1"/>
    <xf numFmtId="164" fontId="0" fillId="0" borderId="4" xfId="0" applyNumberFormat="1" applyFill="1" applyBorder="1" applyAlignment="1"/>
    <xf numFmtId="164" fontId="0" fillId="0" borderId="11" xfId="0" applyNumberFormat="1" applyFill="1" applyBorder="1" applyAlignment="1"/>
    <xf numFmtId="164" fontId="0" fillId="0" borderId="1" xfId="0" applyNumberFormat="1" applyBorder="1"/>
    <xf numFmtId="164" fontId="7" fillId="0" borderId="17" xfId="0" applyNumberFormat="1" applyFont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164" fontId="0" fillId="0" borderId="18" xfId="0" applyNumberFormat="1" applyBorder="1" applyAlignment="1">
      <alignment horizontal="center"/>
    </xf>
    <xf numFmtId="164" fontId="0" fillId="0" borderId="19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164" fontId="0" fillId="0" borderId="1" xfId="0" applyNumberFormat="1" applyFill="1" applyBorder="1" applyAlignment="1"/>
    <xf numFmtId="164" fontId="3" fillId="0" borderId="5" xfId="0" applyNumberFormat="1" applyFont="1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2" xfId="0" applyBorder="1" applyAlignment="1"/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10" fontId="0" fillId="0" borderId="1" xfId="1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Border="1" applyAlignment="1"/>
    <xf numFmtId="0" fontId="0" fillId="0" borderId="16" xfId="0" applyBorder="1" applyAlignment="1"/>
    <xf numFmtId="0" fontId="0" fillId="0" borderId="8" xfId="0" applyBorder="1" applyAlignment="1"/>
    <xf numFmtId="0" fontId="0" fillId="0" borderId="13" xfId="0" applyBorder="1" applyAlignment="1"/>
    <xf numFmtId="0" fontId="0" fillId="0" borderId="15" xfId="0" applyBorder="1" applyAlignment="1"/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4" xfId="0" applyBorder="1" applyAlignment="1">
      <alignment horizontal="center"/>
    </xf>
    <xf numFmtId="166" fontId="7" fillId="0" borderId="0" xfId="0" applyNumberFormat="1" applyFont="1" applyAlignment="1">
      <alignment horizontal="center"/>
    </xf>
    <xf numFmtId="164" fontId="6" fillId="0" borderId="20" xfId="0" applyNumberFormat="1" applyFont="1" applyBorder="1" applyAlignment="1">
      <alignment horizontal="center" vertical="center"/>
    </xf>
    <xf numFmtId="164" fontId="6" fillId="0" borderId="6" xfId="0" applyNumberFormat="1" applyFont="1" applyBorder="1" applyAlignment="1">
      <alignment horizontal="center" vertical="center"/>
    </xf>
    <xf numFmtId="164" fontId="0" fillId="0" borderId="6" xfId="0" applyNumberFormat="1" applyBorder="1" applyAlignment="1"/>
    <xf numFmtId="164" fontId="0" fillId="0" borderId="21" xfId="0" applyNumberFormat="1" applyBorder="1" applyAlignment="1"/>
    <xf numFmtId="164" fontId="6" fillId="0" borderId="22" xfId="0" applyNumberFormat="1" applyFont="1" applyBorder="1" applyAlignment="1">
      <alignment horizontal="center" vertical="center"/>
    </xf>
    <xf numFmtId="164" fontId="6" fillId="0" borderId="0" xfId="0" applyNumberFormat="1" applyFont="1" applyBorder="1" applyAlignment="1">
      <alignment horizontal="center" vertical="center"/>
    </xf>
    <xf numFmtId="164" fontId="0" fillId="0" borderId="0" xfId="0" applyNumberFormat="1" applyBorder="1" applyAlignment="1"/>
    <xf numFmtId="164" fontId="0" fillId="0" borderId="23" xfId="0" applyNumberFormat="1" applyBorder="1" applyAlignment="1"/>
    <xf numFmtId="164" fontId="0" fillId="0" borderId="16" xfId="0" applyNumberFormat="1" applyBorder="1" applyAlignment="1"/>
    <xf numFmtId="164" fontId="0" fillId="0" borderId="14" xfId="0" applyNumberFormat="1" applyBorder="1" applyAlignment="1"/>
    <xf numFmtId="164" fontId="0" fillId="0" borderId="15" xfId="0" applyNumberFormat="1" applyBorder="1" applyAlignment="1"/>
    <xf numFmtId="0" fontId="6" fillId="0" borderId="2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0" fillId="0" borderId="6" xfId="0" applyBorder="1" applyAlignment="1"/>
    <xf numFmtId="0" fontId="0" fillId="0" borderId="21" xfId="0" applyBorder="1" applyAlignment="1"/>
    <xf numFmtId="0" fontId="6" fillId="0" borderId="2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23" xfId="0" applyBorder="1" applyAlignme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 Portfolio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Q1_TwoDimensionTable!$D$13</c:f>
              <c:strCache>
                <c:ptCount val="1"/>
                <c:pt idx="0">
                  <c:v>Expected Return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Q1_TwoDimensionTable!$C$15:$C$40</c:f>
              <c:numCache>
                <c:formatCode>0.00%</c:formatCode>
                <c:ptCount val="26"/>
                <c:pt idx="0">
                  <c:v>0.24</c:v>
                </c:pt>
                <c:pt idx="1">
                  <c:v>0.2355456643625605</c:v>
                </c:pt>
                <c:pt idx="2">
                  <c:v>0.23242856967249098</c:v>
                </c:pt>
                <c:pt idx="3">
                  <c:v>0.23070292585920968</c:v>
                </c:pt>
                <c:pt idx="4">
                  <c:v>0.23039999999999999</c:v>
                </c:pt>
                <c:pt idx="5">
                  <c:v>0.23152537657889688</c:v>
                </c:pt>
                <c:pt idx="6">
                  <c:v>0.23405845423739771</c:v>
                </c:pt>
                <c:pt idx="7">
                  <c:v>0.23795428132311466</c:v>
                </c:pt>
                <c:pt idx="8">
                  <c:v>0.24314736272474763</c:v>
                </c:pt>
                <c:pt idx="9">
                  <c:v>0.24955672701812709</c:v>
                </c:pt>
                <c:pt idx="10">
                  <c:v>0.2570914234275426</c:v>
                </c:pt>
                <c:pt idx="11">
                  <c:v>0.26565571704745977</c:v>
                </c:pt>
                <c:pt idx="12">
                  <c:v>0.27515348444095705</c:v>
                </c:pt>
                <c:pt idx="13">
                  <c:v>0.28549157605785846</c:v>
                </c:pt>
                <c:pt idx="14">
                  <c:v>0.29658213027760116</c:v>
                </c:pt>
                <c:pt idx="15">
                  <c:v>0.30834396378071033</c:v>
                </c:pt>
                <c:pt idx="16">
                  <c:v>0.3207032272990093</c:v>
                </c:pt>
                <c:pt idx="17">
                  <c:v>0.33359352511702023</c:v>
                </c:pt>
                <c:pt idx="18">
                  <c:v>0.34695567440236519</c:v>
                </c:pt>
                <c:pt idx="19">
                  <c:v>0.3607372450967602</c:v>
                </c:pt>
                <c:pt idx="20">
                  <c:v>0.37489198444351951</c:v>
                </c:pt>
                <c:pt idx="21">
                  <c:v>0.38937919821171763</c:v>
                </c:pt>
                <c:pt idx="22">
                  <c:v>0.40416313537976228</c:v>
                </c:pt>
                <c:pt idx="23">
                  <c:v>0.41921240439662577</c:v>
                </c:pt>
                <c:pt idx="24">
                  <c:v>0.43449943613312103</c:v>
                </c:pt>
                <c:pt idx="25">
                  <c:v>0.45000000000000012</c:v>
                </c:pt>
              </c:numCache>
            </c:numRef>
          </c:xVal>
          <c:yVal>
            <c:numRef>
              <c:f>Q1_TwoDimensionTable!$D$15:$D$40</c:f>
              <c:numCache>
                <c:formatCode>0.00%</c:formatCode>
                <c:ptCount val="26"/>
                <c:pt idx="0">
                  <c:v>0.08</c:v>
                </c:pt>
                <c:pt idx="1">
                  <c:v>8.1599999999999992E-2</c:v>
                </c:pt>
                <c:pt idx="2">
                  <c:v>8.3199999999999996E-2</c:v>
                </c:pt>
                <c:pt idx="3">
                  <c:v>8.48E-2</c:v>
                </c:pt>
                <c:pt idx="4">
                  <c:v>8.6399999999999991E-2</c:v>
                </c:pt>
                <c:pt idx="5">
                  <c:v>8.7999999999999995E-2</c:v>
                </c:pt>
                <c:pt idx="6">
                  <c:v>8.9599999999999999E-2</c:v>
                </c:pt>
                <c:pt idx="7">
                  <c:v>9.1200000000000003E-2</c:v>
                </c:pt>
                <c:pt idx="8">
                  <c:v>9.2799999999999994E-2</c:v>
                </c:pt>
                <c:pt idx="9">
                  <c:v>9.4399999999999998E-2</c:v>
                </c:pt>
                <c:pt idx="10">
                  <c:v>9.6000000000000002E-2</c:v>
                </c:pt>
                <c:pt idx="11">
                  <c:v>9.7599999999999992E-2</c:v>
                </c:pt>
                <c:pt idx="12">
                  <c:v>9.9199999999999997E-2</c:v>
                </c:pt>
                <c:pt idx="13">
                  <c:v>0.1008</c:v>
                </c:pt>
                <c:pt idx="14">
                  <c:v>0.10239999999999999</c:v>
                </c:pt>
                <c:pt idx="15">
                  <c:v>0.104</c:v>
                </c:pt>
                <c:pt idx="16">
                  <c:v>0.1056</c:v>
                </c:pt>
                <c:pt idx="17">
                  <c:v>0.1072</c:v>
                </c:pt>
                <c:pt idx="18">
                  <c:v>0.10879999999999999</c:v>
                </c:pt>
                <c:pt idx="19">
                  <c:v>0.11040000000000001</c:v>
                </c:pt>
                <c:pt idx="20">
                  <c:v>0.112</c:v>
                </c:pt>
                <c:pt idx="21">
                  <c:v>0.11360000000000001</c:v>
                </c:pt>
                <c:pt idx="22">
                  <c:v>0.11520000000000001</c:v>
                </c:pt>
                <c:pt idx="23">
                  <c:v>0.1168</c:v>
                </c:pt>
                <c:pt idx="24">
                  <c:v>0.11840000000000001</c:v>
                </c:pt>
                <c:pt idx="25">
                  <c:v>0.12000000000000001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656-45D7-B8F7-CA956B491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1753136"/>
        <c:axId val="441748872"/>
      </c:scatterChart>
      <c:valAx>
        <c:axId val="441753136"/>
        <c:scaling>
          <c:orientation val="minMax"/>
          <c:min val="0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Portfolio</a:t>
                </a:r>
                <a:r>
                  <a:rPr lang="en-US" baseline="0"/>
                  <a:t> Standard Deviation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48872"/>
        <c:crosses val="autoZero"/>
        <c:crossBetween val="midCat"/>
      </c:valAx>
      <c:valAx>
        <c:axId val="441748872"/>
        <c:scaling>
          <c:orientation val="minMax"/>
          <c:min val="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 Expected Portfolio Return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17531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485775</xdr:colOff>
      <xdr:row>12</xdr:row>
      <xdr:rowOff>168275</xdr:rowOff>
    </xdr:from>
    <xdr:to>
      <xdr:col>12</xdr:col>
      <xdr:colOff>180975</xdr:colOff>
      <xdr:row>33</xdr:row>
      <xdr:rowOff>50165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38100</xdr:colOff>
      <xdr:row>11</xdr:row>
      <xdr:rowOff>114300</xdr:rowOff>
    </xdr:from>
    <xdr:ext cx="5213350" cy="1125693"/>
    <xdr:sp macro="" textlink="">
      <xdr:nvSpPr>
        <xdr:cNvPr id="2" name="TextBox 1"/>
        <xdr:cNvSpPr txBox="1"/>
      </xdr:nvSpPr>
      <xdr:spPr>
        <a:xfrm>
          <a:off x="1606550" y="2139950"/>
          <a:ext cx="5213350" cy="1125693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Within the three</a:t>
          </a:r>
          <a:r>
            <a:rPr lang="en-US" sz="1100" baseline="0"/>
            <a:t> factors, annual excess return on the value-weighted market proxy factor has the highest annual mean return (14.27%) and standard deviation (12.28%).  The mean and standard deviation of annual excess returns of the 4 companies' stocks are much higher than the market risk premium. Comparing to the historical data of annual standard deviation and risk premium of Large Cap Stock which are 17.5% and 7.6%, the market premium has higher mean return and lower standard deviation.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5</xdr:row>
      <xdr:rowOff>177800</xdr:rowOff>
    </xdr:from>
    <xdr:to>
      <xdr:col>7</xdr:col>
      <xdr:colOff>38100</xdr:colOff>
      <xdr:row>9</xdr:row>
      <xdr:rowOff>63500</xdr:rowOff>
    </xdr:to>
    <xdr:sp macro="" textlink="">
      <xdr:nvSpPr>
        <xdr:cNvPr id="2" name="TextBox 1"/>
        <xdr:cNvSpPr txBox="1"/>
      </xdr:nvSpPr>
      <xdr:spPr>
        <a:xfrm>
          <a:off x="571500" y="1098550"/>
          <a:ext cx="4692650" cy="6223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</a:t>
          </a:r>
          <a:r>
            <a:rPr lang="en-US" sz="1100" baseline="0"/>
            <a:t> full sample period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(from Dec 2012 to Nov 2016)</a:t>
          </a:r>
          <a:r>
            <a:rPr lang="en-US" sz="1100" baseline="0"/>
            <a:t> beta and residual standard error are between the two sub periods (from Dec 2012 to Nov 2014 and Dec 2014 to Nov 2016).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44450</xdr:colOff>
      <xdr:row>10</xdr:row>
      <xdr:rowOff>133350</xdr:rowOff>
    </xdr:from>
    <xdr:to>
      <xdr:col>12</xdr:col>
      <xdr:colOff>463550</xdr:colOff>
      <xdr:row>21</xdr:row>
      <xdr:rowOff>57150</xdr:rowOff>
    </xdr:to>
    <xdr:sp macro="" textlink="">
      <xdr:nvSpPr>
        <xdr:cNvPr id="2" name="TextBox 1"/>
        <xdr:cNvSpPr txBox="1"/>
      </xdr:nvSpPr>
      <xdr:spPr>
        <a:xfrm>
          <a:off x="5537200" y="2000250"/>
          <a:ext cx="4311650" cy="19494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c</a:t>
          </a:r>
          <a:r>
            <a:rPr lang="en-US" sz="1100"/>
            <a:t>ontradiction to CAPM's assumption that the residual returns are uncorrelated</a:t>
          </a:r>
          <a:r>
            <a:rPr lang="en-US" sz="1100" baseline="0"/>
            <a:t> across all stocks. The previous output of correlation shows most stock residuals have correlation significatly different from 0 with the highest of 0.29 (between CELG and BIIB).</a:t>
          </a:r>
        </a:p>
        <a:p>
          <a:endParaRPr lang="en-US" sz="1100" baseline="0"/>
        </a:p>
        <a:p>
          <a:r>
            <a:rPr lang="en-US" sz="1100" baseline="0"/>
            <a:t>One of the reasons explain the correlation across all stocks is the common industry. Both BIIB and CELG are are in the bio-phamaceutical industry; the stock movement of these company are both affected by industry's shifts and their announcements. An introduction of BIIB new product could affect CELG's earning.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412750</xdr:colOff>
      <xdr:row>22</xdr:row>
      <xdr:rowOff>158750</xdr:rowOff>
    </xdr:from>
    <xdr:to>
      <xdr:col>15</xdr:col>
      <xdr:colOff>12700</xdr:colOff>
      <xdr:row>32</xdr:row>
      <xdr:rowOff>114300</xdr:rowOff>
    </xdr:to>
    <xdr:sp macro="" textlink="">
      <xdr:nvSpPr>
        <xdr:cNvPr id="2" name="TextBox 1"/>
        <xdr:cNvSpPr txBox="1"/>
      </xdr:nvSpPr>
      <xdr:spPr>
        <a:xfrm>
          <a:off x="8915400" y="4356100"/>
          <a:ext cx="4718050" cy="1803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The firm size and book-to-market factors are significant in the estimates</a:t>
          </a:r>
          <a:r>
            <a:rPr lang="en-US" sz="1100" baseline="0"/>
            <a:t> for expected return. The market premium betas decreases since the estimates does not relly solely on this factor, but consider the firm size and book-to-market factor in the model. 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When adding new factors in the Fama French 3-factor model, all betas are significant at 1%, which reflect a good model. </a:t>
          </a:r>
        </a:p>
        <a:p>
          <a:endParaRPr lang="en-US" sz="110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aseline="0"/>
            <a:t>The residual standard deviation and the coeffiction of determination (adjusted R square) improve in the 3-factor model comparing to the CAPM model. these statistics shows that the 3-factor model can explain the stock returns better than the CAPM model.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10"/>
  <sheetViews>
    <sheetView workbookViewId="0">
      <selection activeCell="F8" sqref="F8"/>
    </sheetView>
  </sheetViews>
  <sheetFormatPr defaultRowHeight="14.5" x14ac:dyDescent="0.35"/>
  <cols>
    <col min="1" max="1" width="10.453125" bestFit="1" customWidth="1"/>
  </cols>
  <sheetData>
    <row r="1" spans="1:5" x14ac:dyDescent="0.35">
      <c r="A1" t="s">
        <v>4</v>
      </c>
      <c r="B1" t="s">
        <v>5</v>
      </c>
      <c r="C1" t="s">
        <v>6</v>
      </c>
      <c r="D1" t="s">
        <v>7</v>
      </c>
      <c r="E1" t="s">
        <v>8</v>
      </c>
    </row>
    <row r="2" spans="1:5" x14ac:dyDescent="0.35">
      <c r="A2" s="2">
        <v>42695</v>
      </c>
      <c r="B2" s="26">
        <v>305.20001200000002</v>
      </c>
      <c r="C2" s="26">
        <v>30.4</v>
      </c>
      <c r="D2" s="26">
        <v>121.05999799999999</v>
      </c>
      <c r="E2" s="26">
        <v>66.080001999999993</v>
      </c>
    </row>
    <row r="3" spans="1:5" x14ac:dyDescent="0.35">
      <c r="A3" s="2">
        <v>42688</v>
      </c>
      <c r="B3" s="26">
        <v>317</v>
      </c>
      <c r="C3" s="26">
        <v>30.6</v>
      </c>
      <c r="D3" s="26">
        <v>121.970001</v>
      </c>
      <c r="E3" s="26">
        <v>64.569999999999993</v>
      </c>
    </row>
    <row r="4" spans="1:5" x14ac:dyDescent="0.35">
      <c r="A4" s="2">
        <v>42681</v>
      </c>
      <c r="B4" s="26">
        <v>319.17999300000002</v>
      </c>
      <c r="C4" s="26">
        <v>27.4</v>
      </c>
      <c r="D4" s="26">
        <v>119.449997</v>
      </c>
      <c r="E4" s="26">
        <v>62.802745999999999</v>
      </c>
    </row>
    <row r="5" spans="1:5" x14ac:dyDescent="0.35">
      <c r="A5" s="2">
        <v>42674</v>
      </c>
      <c r="B5" s="26">
        <v>277</v>
      </c>
      <c r="C5" s="26">
        <v>24.101310999999999</v>
      </c>
      <c r="D5" s="26">
        <v>103.44000200000001</v>
      </c>
      <c r="E5" s="26">
        <v>59.888858999999997</v>
      </c>
    </row>
    <row r="6" spans="1:5" x14ac:dyDescent="0.35">
      <c r="A6" s="2">
        <v>42667</v>
      </c>
      <c r="B6" s="26">
        <v>283.64001500000001</v>
      </c>
      <c r="C6" s="26">
        <v>24.999495</v>
      </c>
      <c r="D6" s="26">
        <v>103.900002</v>
      </c>
      <c r="E6" s="26">
        <v>59.968418</v>
      </c>
    </row>
    <row r="7" spans="1:5" x14ac:dyDescent="0.35">
      <c r="A7" s="2">
        <v>42660</v>
      </c>
      <c r="B7" s="26">
        <v>290.64999399999999</v>
      </c>
      <c r="C7" s="26">
        <v>24.201108999999999</v>
      </c>
      <c r="D7" s="26">
        <v>98.910004000000001</v>
      </c>
      <c r="E7" s="26">
        <v>59.172817000000002</v>
      </c>
    </row>
    <row r="8" spans="1:5" x14ac:dyDescent="0.35">
      <c r="A8" s="2">
        <v>42653</v>
      </c>
      <c r="B8" s="26">
        <v>290.5</v>
      </c>
      <c r="C8" s="26">
        <v>24.101310999999999</v>
      </c>
      <c r="D8" s="26">
        <v>98.5</v>
      </c>
      <c r="E8" s="26">
        <v>58.675567999999998</v>
      </c>
    </row>
    <row r="9" spans="1:5" x14ac:dyDescent="0.35">
      <c r="A9" s="2">
        <v>42646</v>
      </c>
      <c r="B9" s="26">
        <v>305.58999599999999</v>
      </c>
      <c r="C9" s="26">
        <v>24.260988000000001</v>
      </c>
      <c r="D9" s="26">
        <v>104.07</v>
      </c>
      <c r="E9" s="26">
        <v>61.718741999999999</v>
      </c>
    </row>
    <row r="10" spans="1:5" x14ac:dyDescent="0.35">
      <c r="A10" s="2">
        <v>42639</v>
      </c>
      <c r="B10" s="26">
        <v>313.02999899999998</v>
      </c>
      <c r="C10" s="26">
        <v>24.270966999999999</v>
      </c>
      <c r="D10" s="26">
        <v>104.529999</v>
      </c>
      <c r="E10" s="26">
        <v>61.798298000000003</v>
      </c>
    </row>
    <row r="11" spans="1:5" x14ac:dyDescent="0.35">
      <c r="A11" s="2">
        <v>42632</v>
      </c>
      <c r="B11" s="26">
        <v>312.57998700000002</v>
      </c>
      <c r="C11" s="26">
        <v>24.909678</v>
      </c>
      <c r="D11" s="26">
        <v>109.43</v>
      </c>
      <c r="E11" s="26">
        <v>60.306545</v>
      </c>
    </row>
    <row r="12" spans="1:5" x14ac:dyDescent="0.35">
      <c r="A12" s="2">
        <v>42625</v>
      </c>
      <c r="B12" s="26">
        <v>304.51001000000002</v>
      </c>
      <c r="C12" s="26">
        <v>24.819859999999998</v>
      </c>
      <c r="D12" s="26">
        <v>108.540001</v>
      </c>
      <c r="E12" s="26">
        <v>59.978363000000002</v>
      </c>
    </row>
    <row r="13" spans="1:5" x14ac:dyDescent="0.35">
      <c r="A13" s="2">
        <v>42619</v>
      </c>
      <c r="B13" s="26">
        <v>296.10000600000001</v>
      </c>
      <c r="C13" s="26">
        <v>25.029436</v>
      </c>
      <c r="D13" s="26">
        <v>104.470001</v>
      </c>
      <c r="E13" s="26">
        <v>58.198203999999997</v>
      </c>
    </row>
    <row r="14" spans="1:5" x14ac:dyDescent="0.35">
      <c r="A14" s="2">
        <v>42611</v>
      </c>
      <c r="B14" s="26">
        <v>313.58999599999999</v>
      </c>
      <c r="C14" s="26">
        <v>24.799900000000001</v>
      </c>
      <c r="D14" s="26">
        <v>105.489998</v>
      </c>
      <c r="E14" s="26">
        <v>62.345272000000001</v>
      </c>
    </row>
    <row r="15" spans="1:5" x14ac:dyDescent="0.35">
      <c r="A15" s="2">
        <v>42604</v>
      </c>
      <c r="B15" s="26">
        <v>308.17001299999998</v>
      </c>
      <c r="C15" s="26">
        <v>24.08135</v>
      </c>
      <c r="D15" s="26">
        <v>108.790001</v>
      </c>
      <c r="E15" s="26">
        <v>61.241379000000002</v>
      </c>
    </row>
    <row r="16" spans="1:5" x14ac:dyDescent="0.35">
      <c r="A16" s="2">
        <v>42597</v>
      </c>
      <c r="B16" s="26">
        <v>316.80999800000001</v>
      </c>
      <c r="C16" s="26">
        <v>23.821877000000001</v>
      </c>
      <c r="D16" s="26">
        <v>112.160004</v>
      </c>
      <c r="E16" s="26">
        <v>60.962916999999997</v>
      </c>
    </row>
    <row r="17" spans="1:5" x14ac:dyDescent="0.35">
      <c r="A17" s="2">
        <v>42590</v>
      </c>
      <c r="B17" s="26">
        <v>313.94000199999999</v>
      </c>
      <c r="C17" s="26">
        <v>23.951612000000001</v>
      </c>
      <c r="D17" s="26">
        <v>113.389999</v>
      </c>
      <c r="E17" s="26">
        <v>59.821826999999999</v>
      </c>
    </row>
    <row r="18" spans="1:5" x14ac:dyDescent="0.35">
      <c r="A18" s="2">
        <v>42583</v>
      </c>
      <c r="B18" s="26">
        <v>315.959991</v>
      </c>
      <c r="C18" s="26">
        <v>24.470092999999999</v>
      </c>
      <c r="D18" s="26">
        <v>115.529999</v>
      </c>
      <c r="E18" s="26">
        <v>55.916752000000002</v>
      </c>
    </row>
    <row r="19" spans="1:5" x14ac:dyDescent="0.35">
      <c r="A19" s="2">
        <v>42576</v>
      </c>
      <c r="B19" s="26">
        <v>289.92999300000002</v>
      </c>
      <c r="C19" s="26">
        <v>24.161353999999999</v>
      </c>
      <c r="D19" s="26">
        <v>112.19000200000001</v>
      </c>
      <c r="E19" s="26">
        <v>55.007213999999998</v>
      </c>
    </row>
    <row r="20" spans="1:5" x14ac:dyDescent="0.35">
      <c r="A20" s="2">
        <v>42569</v>
      </c>
      <c r="B20" s="26">
        <v>287.77999899999998</v>
      </c>
      <c r="C20" s="26">
        <v>23.932289000000001</v>
      </c>
      <c r="D20" s="26">
        <v>107.519997</v>
      </c>
      <c r="E20" s="26">
        <v>53.553927999999999</v>
      </c>
    </row>
    <row r="21" spans="1:5" x14ac:dyDescent="0.35">
      <c r="A21" s="2">
        <v>42562</v>
      </c>
      <c r="B21" s="26">
        <v>260.29998799999998</v>
      </c>
      <c r="C21" s="26">
        <v>23.404444000000002</v>
      </c>
      <c r="D21" s="26">
        <v>102.849998</v>
      </c>
      <c r="E21" s="26">
        <v>53.158481999999999</v>
      </c>
    </row>
    <row r="22" spans="1:5" x14ac:dyDescent="0.35">
      <c r="A22" s="2">
        <v>42556</v>
      </c>
      <c r="B22" s="26">
        <v>251.300003</v>
      </c>
      <c r="C22" s="26">
        <v>22.597738</v>
      </c>
      <c r="D22" s="26">
        <v>105.029999</v>
      </c>
      <c r="E22" s="26">
        <v>51.280090000000001</v>
      </c>
    </row>
    <row r="23" spans="1:5" x14ac:dyDescent="0.35">
      <c r="A23" s="2">
        <v>42548</v>
      </c>
      <c r="B23" s="26">
        <v>245.05999800000001</v>
      </c>
      <c r="C23" s="26">
        <v>22.288997999999999</v>
      </c>
      <c r="D23" s="26">
        <v>100.699997</v>
      </c>
      <c r="E23" s="26">
        <v>49.846577000000003</v>
      </c>
    </row>
    <row r="24" spans="1:5" x14ac:dyDescent="0.35">
      <c r="A24" s="2">
        <v>42541</v>
      </c>
      <c r="B24" s="26">
        <v>229.020004</v>
      </c>
      <c r="C24" s="26">
        <v>22.39855</v>
      </c>
      <c r="D24" s="26">
        <v>96.290001000000004</v>
      </c>
      <c r="E24" s="26">
        <v>49.896011000000001</v>
      </c>
    </row>
    <row r="25" spans="1:5" x14ac:dyDescent="0.35">
      <c r="A25" s="2">
        <v>42534</v>
      </c>
      <c r="B25" s="26">
        <v>238.21000699999999</v>
      </c>
      <c r="C25" s="26">
        <v>22.926394999999999</v>
      </c>
      <c r="D25" s="26">
        <v>98.739998</v>
      </c>
      <c r="E25" s="26">
        <v>50.627594000000002</v>
      </c>
    </row>
    <row r="26" spans="1:5" x14ac:dyDescent="0.35">
      <c r="A26" s="2">
        <v>42527</v>
      </c>
      <c r="B26" s="26">
        <v>246.13000500000001</v>
      </c>
      <c r="C26" s="26">
        <v>23.772939999999998</v>
      </c>
      <c r="D26" s="26">
        <v>102.910004</v>
      </c>
      <c r="E26" s="26">
        <v>51.655768999999999</v>
      </c>
    </row>
    <row r="27" spans="1:5" x14ac:dyDescent="0.35">
      <c r="A27" s="2">
        <v>42521</v>
      </c>
      <c r="B27" s="26">
        <v>290.23001099999999</v>
      </c>
      <c r="C27" s="26">
        <v>23.573753</v>
      </c>
      <c r="D27" s="26">
        <v>107.589996</v>
      </c>
      <c r="E27" s="26">
        <v>51.220771999999997</v>
      </c>
    </row>
    <row r="28" spans="1:5" x14ac:dyDescent="0.35">
      <c r="A28" s="2">
        <v>42513</v>
      </c>
      <c r="B28" s="26">
        <v>282.790009</v>
      </c>
      <c r="C28" s="26">
        <v>23.762979999999999</v>
      </c>
      <c r="D28" s="26">
        <v>106.43</v>
      </c>
      <c r="E28" s="26">
        <v>50.410099000000002</v>
      </c>
    </row>
    <row r="29" spans="1:5" x14ac:dyDescent="0.35">
      <c r="A29" s="2">
        <v>42506</v>
      </c>
      <c r="B29" s="26">
        <v>263.66000400000001</v>
      </c>
      <c r="C29" s="26">
        <v>22.786964000000001</v>
      </c>
      <c r="D29" s="26">
        <v>101.459999</v>
      </c>
      <c r="E29" s="26">
        <v>48.264778</v>
      </c>
    </row>
    <row r="30" spans="1:5" x14ac:dyDescent="0.35">
      <c r="A30" s="2">
        <v>42499</v>
      </c>
      <c r="B30" s="26">
        <v>262.02999899999998</v>
      </c>
      <c r="C30" s="26">
        <v>22.059933000000001</v>
      </c>
      <c r="D30" s="26">
        <v>100.160004</v>
      </c>
      <c r="E30" s="26">
        <v>46.276363000000003</v>
      </c>
    </row>
    <row r="31" spans="1:5" x14ac:dyDescent="0.35">
      <c r="A31" s="2">
        <v>42492</v>
      </c>
      <c r="B31" s="26">
        <v>263.60998499999999</v>
      </c>
      <c r="C31" s="26">
        <v>21.702707</v>
      </c>
      <c r="D31" s="26">
        <v>100.25</v>
      </c>
      <c r="E31" s="26">
        <v>47.051563000000002</v>
      </c>
    </row>
    <row r="32" spans="1:5" x14ac:dyDescent="0.35">
      <c r="A32" s="2">
        <v>42485</v>
      </c>
      <c r="B32" s="26">
        <v>274.98998999999998</v>
      </c>
      <c r="C32" s="26">
        <v>22.219439000000001</v>
      </c>
      <c r="D32" s="26">
        <v>103.410004</v>
      </c>
      <c r="E32" s="26">
        <v>47.679572999999998</v>
      </c>
    </row>
    <row r="33" spans="1:5" x14ac:dyDescent="0.35">
      <c r="A33" s="2">
        <v>42478</v>
      </c>
      <c r="B33" s="26">
        <v>282.70001200000002</v>
      </c>
      <c r="C33" s="26">
        <v>21.543713</v>
      </c>
      <c r="D33" s="26">
        <v>110.519997</v>
      </c>
      <c r="E33" s="26">
        <v>48.778584000000002</v>
      </c>
    </row>
    <row r="34" spans="1:5" x14ac:dyDescent="0.35">
      <c r="A34" s="2">
        <v>42471</v>
      </c>
      <c r="B34" s="26">
        <v>268.5</v>
      </c>
      <c r="C34" s="26">
        <v>21.802078000000002</v>
      </c>
      <c r="D34" s="26">
        <v>107.339996</v>
      </c>
      <c r="E34" s="26">
        <v>47.846386000000003</v>
      </c>
    </row>
    <row r="35" spans="1:5" x14ac:dyDescent="0.35">
      <c r="A35" s="2">
        <v>42464</v>
      </c>
      <c r="B35" s="26">
        <v>270.82998700000002</v>
      </c>
      <c r="C35" s="26">
        <v>20.699057</v>
      </c>
      <c r="D35" s="26">
        <v>106.260002</v>
      </c>
      <c r="E35" s="26">
        <v>47.542194000000002</v>
      </c>
    </row>
    <row r="36" spans="1:5" x14ac:dyDescent="0.35">
      <c r="A36" s="2">
        <v>42457</v>
      </c>
      <c r="B36" s="26">
        <v>260.540009</v>
      </c>
      <c r="C36" s="26">
        <v>21.046855999999998</v>
      </c>
      <c r="D36" s="26">
        <v>101.19000200000001</v>
      </c>
      <c r="E36" s="26">
        <v>47.375377999999998</v>
      </c>
    </row>
    <row r="37" spans="1:5" x14ac:dyDescent="0.35">
      <c r="A37" s="2">
        <v>42450</v>
      </c>
      <c r="B37" s="26">
        <v>254.69000199999999</v>
      </c>
      <c r="C37" s="26">
        <v>20.311508</v>
      </c>
      <c r="D37" s="26">
        <v>100.540001</v>
      </c>
      <c r="E37" s="26">
        <v>47.218375999999999</v>
      </c>
    </row>
    <row r="38" spans="1:5" x14ac:dyDescent="0.35">
      <c r="A38" s="2">
        <v>42443</v>
      </c>
      <c r="B38" s="26">
        <v>250.779999</v>
      </c>
      <c r="C38" s="26">
        <v>21.116415</v>
      </c>
      <c r="D38" s="26">
        <v>98.760002</v>
      </c>
      <c r="E38" s="26">
        <v>48.189827000000001</v>
      </c>
    </row>
    <row r="39" spans="1:5" x14ac:dyDescent="0.35">
      <c r="A39" s="2">
        <v>42436</v>
      </c>
      <c r="B39" s="26">
        <v>259.73998999999998</v>
      </c>
      <c r="C39" s="26">
        <v>21.434404000000001</v>
      </c>
      <c r="D39" s="26">
        <v>101.849998</v>
      </c>
      <c r="E39" s="26">
        <v>47.699196000000001</v>
      </c>
    </row>
    <row r="40" spans="1:5" x14ac:dyDescent="0.35">
      <c r="A40" s="2">
        <v>42429</v>
      </c>
      <c r="B40" s="26">
        <v>263.94000199999999</v>
      </c>
      <c r="C40" s="26">
        <v>20.778552999999999</v>
      </c>
      <c r="D40" s="26">
        <v>102.510002</v>
      </c>
      <c r="E40" s="26">
        <v>45.952548999999998</v>
      </c>
    </row>
    <row r="41" spans="1:5" x14ac:dyDescent="0.35">
      <c r="A41" s="2">
        <v>42422</v>
      </c>
      <c r="B41" s="26">
        <v>264.48998999999998</v>
      </c>
      <c r="C41" s="26">
        <v>20.579809000000001</v>
      </c>
      <c r="D41" s="26">
        <v>103.370003</v>
      </c>
      <c r="E41" s="26">
        <v>44.039085</v>
      </c>
    </row>
    <row r="42" spans="1:5" x14ac:dyDescent="0.35">
      <c r="A42" s="2">
        <v>42416</v>
      </c>
      <c r="B42" s="26">
        <v>261.39999399999999</v>
      </c>
      <c r="C42" s="26">
        <v>20.261821999999999</v>
      </c>
      <c r="D42" s="26">
        <v>102.610001</v>
      </c>
      <c r="E42" s="26">
        <v>41.576115000000001</v>
      </c>
    </row>
    <row r="43" spans="1:5" x14ac:dyDescent="0.35">
      <c r="A43" s="2">
        <v>42408</v>
      </c>
      <c r="B43" s="26">
        <v>247.220001</v>
      </c>
      <c r="C43" s="26">
        <v>20.450627999999998</v>
      </c>
      <c r="D43" s="26">
        <v>102.449997</v>
      </c>
      <c r="E43" s="26">
        <v>39.319144999999999</v>
      </c>
    </row>
    <row r="44" spans="1:5" x14ac:dyDescent="0.35">
      <c r="A44" s="2">
        <v>42401</v>
      </c>
      <c r="B44" s="26">
        <v>263.85998499999999</v>
      </c>
      <c r="C44" s="26">
        <v>21.182677999999999</v>
      </c>
      <c r="D44" s="26">
        <v>97.889999000000003</v>
      </c>
      <c r="E44" s="26">
        <v>41.080288000000003</v>
      </c>
    </row>
    <row r="45" spans="1:5" x14ac:dyDescent="0.35">
      <c r="A45" s="2">
        <v>42394</v>
      </c>
      <c r="B45" s="26">
        <v>273.05999800000001</v>
      </c>
      <c r="C45" s="26">
        <v>23.016459999999999</v>
      </c>
      <c r="D45" s="26">
        <v>100.32</v>
      </c>
      <c r="E45" s="26">
        <v>43.600372</v>
      </c>
    </row>
    <row r="46" spans="1:5" x14ac:dyDescent="0.35">
      <c r="A46" s="2">
        <v>42388</v>
      </c>
      <c r="B46" s="26">
        <v>268.92001299999998</v>
      </c>
      <c r="C46" s="26">
        <v>21.242152999999998</v>
      </c>
      <c r="D46" s="26">
        <v>108.80999799999999</v>
      </c>
      <c r="E46" s="26">
        <v>41.975448999999998</v>
      </c>
    </row>
    <row r="47" spans="1:5" x14ac:dyDescent="0.35">
      <c r="A47" s="2">
        <v>42380</v>
      </c>
      <c r="B47" s="26">
        <v>273.32998700000002</v>
      </c>
      <c r="C47" s="26">
        <v>22.342421999999999</v>
      </c>
      <c r="D47" s="26">
        <v>103.05999799999999</v>
      </c>
      <c r="E47" s="26">
        <v>39.426178</v>
      </c>
    </row>
    <row r="48" spans="1:5" x14ac:dyDescent="0.35">
      <c r="A48" s="2">
        <v>42373</v>
      </c>
      <c r="B48" s="26">
        <v>280.58999599999999</v>
      </c>
      <c r="C48" s="26">
        <v>23.660765000000001</v>
      </c>
      <c r="D48" s="26">
        <v>108.980003</v>
      </c>
      <c r="E48" s="26">
        <v>40.408912999999998</v>
      </c>
    </row>
    <row r="49" spans="1:5" x14ac:dyDescent="0.35">
      <c r="A49" s="2">
        <v>42366</v>
      </c>
      <c r="B49" s="26">
        <v>306.35000600000001</v>
      </c>
      <c r="C49" s="26">
        <v>25.157527999999999</v>
      </c>
      <c r="D49" s="26">
        <v>119.760002</v>
      </c>
      <c r="E49" s="26">
        <v>45.283669000000003</v>
      </c>
    </row>
    <row r="50" spans="1:5" x14ac:dyDescent="0.35">
      <c r="A50" s="2">
        <v>42359</v>
      </c>
      <c r="B50" s="26">
        <v>302.290009</v>
      </c>
      <c r="C50" s="26">
        <v>25.504459000000001</v>
      </c>
      <c r="D50" s="26">
        <v>122.139999</v>
      </c>
      <c r="E50" s="26">
        <v>45.984229999999997</v>
      </c>
    </row>
    <row r="51" spans="1:5" x14ac:dyDescent="0.35">
      <c r="A51" s="2">
        <v>42352</v>
      </c>
      <c r="B51" s="26">
        <v>293.36999500000002</v>
      </c>
      <c r="C51" s="26">
        <v>24.176205</v>
      </c>
      <c r="D51" s="26">
        <v>110.139999</v>
      </c>
      <c r="E51" s="26">
        <v>44.845818000000001</v>
      </c>
    </row>
    <row r="52" spans="1:5" x14ac:dyDescent="0.35">
      <c r="A52" s="2">
        <v>42345</v>
      </c>
      <c r="B52" s="26">
        <v>283.459991</v>
      </c>
      <c r="C52" s="26">
        <v>24.344715000000001</v>
      </c>
      <c r="D52" s="26">
        <v>108.360001</v>
      </c>
      <c r="E52" s="26">
        <v>43.434958999999999</v>
      </c>
    </row>
    <row r="53" spans="1:5" x14ac:dyDescent="0.35">
      <c r="A53" s="2">
        <v>42338</v>
      </c>
      <c r="B53" s="26">
        <v>284.45001200000002</v>
      </c>
      <c r="C53" s="26">
        <v>24.899809000000001</v>
      </c>
      <c r="D53" s="26">
        <v>110.360001</v>
      </c>
      <c r="E53" s="26">
        <v>46.091262999999998</v>
      </c>
    </row>
    <row r="54" spans="1:5" x14ac:dyDescent="0.35">
      <c r="A54" s="2">
        <v>42331</v>
      </c>
      <c r="B54" s="26">
        <v>293.209991</v>
      </c>
      <c r="C54" s="26">
        <v>25.395426</v>
      </c>
      <c r="D54" s="26">
        <v>112.69000200000001</v>
      </c>
      <c r="E54" s="26">
        <v>46.402622000000001</v>
      </c>
    </row>
    <row r="55" spans="1:5" x14ac:dyDescent="0.35">
      <c r="A55" s="2">
        <v>42324</v>
      </c>
      <c r="B55" s="26">
        <v>290.16000400000001</v>
      </c>
      <c r="C55" s="26">
        <v>25.484634</v>
      </c>
      <c r="D55" s="26">
        <v>113.510002</v>
      </c>
      <c r="E55" s="26">
        <v>46.100994</v>
      </c>
    </row>
    <row r="56" spans="1:5" x14ac:dyDescent="0.35">
      <c r="A56" s="2">
        <v>42317</v>
      </c>
      <c r="B56" s="26">
        <v>284.83999599999999</v>
      </c>
      <c r="C56" s="26">
        <v>25.226915000000002</v>
      </c>
      <c r="D56" s="26">
        <v>107.489998</v>
      </c>
      <c r="E56" s="26">
        <v>44.061993000000001</v>
      </c>
    </row>
    <row r="57" spans="1:5" x14ac:dyDescent="0.35">
      <c r="A57" s="2">
        <v>42310</v>
      </c>
      <c r="B57" s="26">
        <v>295.35000600000001</v>
      </c>
      <c r="C57" s="26">
        <v>24.533795999999999</v>
      </c>
      <c r="D57" s="26">
        <v>116.739998</v>
      </c>
      <c r="E57" s="26">
        <v>46.19558</v>
      </c>
    </row>
    <row r="58" spans="1:5" x14ac:dyDescent="0.35">
      <c r="A58" s="2">
        <v>42303</v>
      </c>
      <c r="B58" s="26">
        <v>290.51001000000002</v>
      </c>
      <c r="C58" s="26">
        <v>22.209022999999998</v>
      </c>
      <c r="D58" s="26">
        <v>122.709999</v>
      </c>
      <c r="E58" s="26">
        <v>46.620368999999997</v>
      </c>
    </row>
    <row r="59" spans="1:5" x14ac:dyDescent="0.35">
      <c r="A59" s="2">
        <v>42296</v>
      </c>
      <c r="B59" s="26">
        <v>276.98998999999998</v>
      </c>
      <c r="C59" s="26">
        <v>22.278271</v>
      </c>
      <c r="D59" s="26">
        <v>120.08000199999999</v>
      </c>
      <c r="E59" s="26">
        <v>47.412018000000003</v>
      </c>
    </row>
    <row r="60" spans="1:5" x14ac:dyDescent="0.35">
      <c r="A60" s="2">
        <v>42289</v>
      </c>
      <c r="B60" s="26">
        <v>272.36999500000002</v>
      </c>
      <c r="C60" s="26">
        <v>21.902349000000001</v>
      </c>
      <c r="D60" s="26">
        <v>117.879997</v>
      </c>
      <c r="E60" s="26">
        <v>45.317042999999998</v>
      </c>
    </row>
    <row r="61" spans="1:5" x14ac:dyDescent="0.35">
      <c r="A61" s="2">
        <v>42282</v>
      </c>
      <c r="B61" s="26">
        <v>269.16000400000001</v>
      </c>
      <c r="C61" s="26">
        <v>22.080418000000002</v>
      </c>
      <c r="D61" s="26">
        <v>117.379997</v>
      </c>
      <c r="E61" s="26">
        <v>44.670211999999999</v>
      </c>
    </row>
    <row r="62" spans="1:5" x14ac:dyDescent="0.35">
      <c r="A62" s="2">
        <v>42275</v>
      </c>
      <c r="B62" s="26">
        <v>290.35000600000001</v>
      </c>
      <c r="C62" s="26">
        <v>21.961706</v>
      </c>
      <c r="D62" s="26">
        <v>116.44000200000001</v>
      </c>
      <c r="E62" s="26">
        <v>41.880135000000003</v>
      </c>
    </row>
    <row r="63" spans="1:5" x14ac:dyDescent="0.35">
      <c r="A63" s="2">
        <v>42268</v>
      </c>
      <c r="B63" s="26">
        <v>284.790009</v>
      </c>
      <c r="C63" s="26">
        <v>22.011168999999999</v>
      </c>
      <c r="D63" s="26">
        <v>108.389999</v>
      </c>
      <c r="E63" s="26">
        <v>39.949283999999999</v>
      </c>
    </row>
    <row r="64" spans="1:5" x14ac:dyDescent="0.35">
      <c r="A64" s="2">
        <v>42261</v>
      </c>
      <c r="B64" s="26">
        <v>314.67001299999998</v>
      </c>
      <c r="C64" s="26">
        <v>21.664926999999999</v>
      </c>
      <c r="D64" s="26">
        <v>122.620003</v>
      </c>
      <c r="E64" s="26">
        <v>41.320186999999997</v>
      </c>
    </row>
    <row r="65" spans="1:5" x14ac:dyDescent="0.35">
      <c r="A65" s="2">
        <v>42255</v>
      </c>
      <c r="B65" s="26">
        <v>315.36999500000002</v>
      </c>
      <c r="C65" s="26">
        <v>21.071365</v>
      </c>
      <c r="D65" s="26">
        <v>123.970001</v>
      </c>
      <c r="E65" s="26">
        <v>42.372498</v>
      </c>
    </row>
    <row r="66" spans="1:5" x14ac:dyDescent="0.35">
      <c r="A66" s="2">
        <v>42247</v>
      </c>
      <c r="B66" s="26">
        <v>302.26001000000002</v>
      </c>
      <c r="C66" s="26">
        <v>20.586625999999999</v>
      </c>
      <c r="D66" s="26">
        <v>117.389999</v>
      </c>
      <c r="E66" s="26">
        <v>39.266537</v>
      </c>
    </row>
    <row r="67" spans="1:5" x14ac:dyDescent="0.35">
      <c r="A67" s="2">
        <v>42240</v>
      </c>
      <c r="B67" s="26">
        <v>303.69000199999999</v>
      </c>
      <c r="C67" s="26">
        <v>20.339310000000001</v>
      </c>
      <c r="D67" s="26">
        <v>124.040001</v>
      </c>
      <c r="E67" s="26">
        <v>41.411830999999999</v>
      </c>
    </row>
    <row r="68" spans="1:5" x14ac:dyDescent="0.35">
      <c r="A68" s="2">
        <v>42233</v>
      </c>
      <c r="B68" s="26">
        <v>295.64001500000001</v>
      </c>
      <c r="C68" s="26">
        <v>21.031796</v>
      </c>
      <c r="D68" s="26">
        <v>119.050003</v>
      </c>
      <c r="E68" s="26">
        <v>39.113300000000002</v>
      </c>
    </row>
    <row r="69" spans="1:5" x14ac:dyDescent="0.35">
      <c r="A69" s="2">
        <v>42226</v>
      </c>
      <c r="B69" s="26">
        <v>312.60998499999999</v>
      </c>
      <c r="C69" s="26">
        <v>21.655033</v>
      </c>
      <c r="D69" s="26">
        <v>129.240005</v>
      </c>
      <c r="E69" s="26">
        <v>41.459716999999998</v>
      </c>
    </row>
    <row r="70" spans="1:5" x14ac:dyDescent="0.35">
      <c r="A70" s="2">
        <v>42219</v>
      </c>
      <c r="B70" s="26">
        <v>309</v>
      </c>
      <c r="C70" s="26">
        <v>22.268312000000002</v>
      </c>
      <c r="D70" s="26">
        <v>128.60000600000001</v>
      </c>
      <c r="E70" s="26">
        <v>41.718304000000003</v>
      </c>
    </row>
    <row r="71" spans="1:5" x14ac:dyDescent="0.35">
      <c r="A71" s="2">
        <v>42212</v>
      </c>
      <c r="B71" s="26">
        <v>318.77999899999998</v>
      </c>
      <c r="C71" s="26">
        <v>22.228829999999999</v>
      </c>
      <c r="D71" s="26">
        <v>131.25</v>
      </c>
      <c r="E71" s="26">
        <v>41.028744000000003</v>
      </c>
    </row>
    <row r="72" spans="1:5" x14ac:dyDescent="0.35">
      <c r="A72" s="2">
        <v>42205</v>
      </c>
      <c r="B72" s="26">
        <v>300.02999899999998</v>
      </c>
      <c r="C72" s="26">
        <v>21.281241999999999</v>
      </c>
      <c r="D72" s="26">
        <v>134.89999399999999</v>
      </c>
      <c r="E72" s="26">
        <v>40.099750999999998</v>
      </c>
    </row>
    <row r="73" spans="1:5" x14ac:dyDescent="0.35">
      <c r="A73" s="2">
        <v>42198</v>
      </c>
      <c r="B73" s="26">
        <v>404.66000400000001</v>
      </c>
      <c r="C73" s="26">
        <v>20.619904999999999</v>
      </c>
      <c r="D73" s="26">
        <v>134.520004</v>
      </c>
      <c r="E73" s="26">
        <v>42.465324000000003</v>
      </c>
    </row>
    <row r="74" spans="1:5" x14ac:dyDescent="0.35">
      <c r="A74" s="2">
        <v>42191</v>
      </c>
      <c r="B74" s="26">
        <v>388.23001099999999</v>
      </c>
      <c r="C74" s="26">
        <v>20.146111000000001</v>
      </c>
      <c r="D74" s="26">
        <v>118.839996</v>
      </c>
      <c r="E74" s="26">
        <v>42.953758000000001</v>
      </c>
    </row>
    <row r="75" spans="1:5" x14ac:dyDescent="0.35">
      <c r="A75" s="2">
        <v>42184</v>
      </c>
      <c r="B75" s="26">
        <v>404.27999899999998</v>
      </c>
      <c r="C75" s="26">
        <v>19.218264000000001</v>
      </c>
      <c r="D75" s="26">
        <v>119.519997</v>
      </c>
      <c r="E75" s="26">
        <v>44.562728999999997</v>
      </c>
    </row>
    <row r="76" spans="1:5" x14ac:dyDescent="0.35">
      <c r="A76" s="2">
        <v>42177</v>
      </c>
      <c r="B76" s="26">
        <v>408.73001099999999</v>
      </c>
      <c r="C76" s="26">
        <v>19.001110000000001</v>
      </c>
      <c r="D76" s="26">
        <v>117.91999800000001</v>
      </c>
      <c r="E76" s="26">
        <v>46.372821999999999</v>
      </c>
    </row>
    <row r="77" spans="1:5" x14ac:dyDescent="0.35">
      <c r="A77" s="2">
        <v>42170</v>
      </c>
      <c r="B77" s="26">
        <v>411.04998799999998</v>
      </c>
      <c r="C77" s="26">
        <v>18.547058</v>
      </c>
      <c r="D77" s="26">
        <v>117.220001</v>
      </c>
      <c r="E77" s="26">
        <v>47.569969</v>
      </c>
    </row>
    <row r="78" spans="1:5" x14ac:dyDescent="0.35">
      <c r="A78" s="2">
        <v>42163</v>
      </c>
      <c r="B78" s="26">
        <v>388.76998900000001</v>
      </c>
      <c r="C78" s="26">
        <v>18.57667</v>
      </c>
      <c r="D78" s="26">
        <v>111.32</v>
      </c>
      <c r="E78" s="26">
        <v>45.357638999999999</v>
      </c>
    </row>
    <row r="79" spans="1:5" x14ac:dyDescent="0.35">
      <c r="A79" s="2">
        <v>42156</v>
      </c>
      <c r="B79" s="26">
        <v>387.85998499999999</v>
      </c>
      <c r="C79" s="26">
        <v>18.408867000000001</v>
      </c>
      <c r="D79" s="26">
        <v>110.720001</v>
      </c>
      <c r="E79" s="26">
        <v>45.453411000000003</v>
      </c>
    </row>
    <row r="80" spans="1:5" x14ac:dyDescent="0.35">
      <c r="A80" s="2">
        <v>42150</v>
      </c>
      <c r="B80" s="26">
        <v>396.98998999999998</v>
      </c>
      <c r="C80" s="26">
        <v>18.320029999999999</v>
      </c>
      <c r="D80" s="26">
        <v>114.44000200000001</v>
      </c>
      <c r="E80" s="26">
        <v>47.052802999999997</v>
      </c>
    </row>
    <row r="81" spans="1:5" x14ac:dyDescent="0.35">
      <c r="A81" s="2">
        <v>42142</v>
      </c>
      <c r="B81" s="26">
        <v>398.67999300000002</v>
      </c>
      <c r="C81" s="26">
        <v>18.181840999999999</v>
      </c>
      <c r="D81" s="26">
        <v>116.089996</v>
      </c>
      <c r="E81" s="26">
        <v>46.353667999999999</v>
      </c>
    </row>
    <row r="82" spans="1:5" x14ac:dyDescent="0.35">
      <c r="A82" s="2">
        <v>42135</v>
      </c>
      <c r="B82" s="26">
        <v>391.23998999999998</v>
      </c>
      <c r="C82" s="26">
        <v>18.241064000000001</v>
      </c>
      <c r="D82" s="26">
        <v>115.529999</v>
      </c>
      <c r="E82" s="26">
        <v>46.832481000000001</v>
      </c>
    </row>
    <row r="83" spans="1:5" x14ac:dyDescent="0.35">
      <c r="A83" s="2">
        <v>42128</v>
      </c>
      <c r="B83" s="26">
        <v>398.42999300000002</v>
      </c>
      <c r="C83" s="26">
        <v>18.221537000000001</v>
      </c>
      <c r="D83" s="26">
        <v>113.209999</v>
      </c>
      <c r="E83" s="26">
        <v>46.556773999999997</v>
      </c>
    </row>
    <row r="84" spans="1:5" x14ac:dyDescent="0.35">
      <c r="A84" s="2">
        <v>42121</v>
      </c>
      <c r="B84" s="26">
        <v>386.22000100000002</v>
      </c>
      <c r="C84" s="26">
        <v>18.241223999999999</v>
      </c>
      <c r="D84" s="26">
        <v>110.550003</v>
      </c>
      <c r="E84" s="26">
        <v>46.195498999999998</v>
      </c>
    </row>
    <row r="85" spans="1:5" x14ac:dyDescent="0.35">
      <c r="A85" s="2">
        <v>42114</v>
      </c>
      <c r="B85" s="26">
        <v>401.709991</v>
      </c>
      <c r="C85" s="26">
        <v>18.507014999999999</v>
      </c>
      <c r="D85" s="26">
        <v>118.709999</v>
      </c>
      <c r="E85" s="26">
        <v>44.997593000000002</v>
      </c>
    </row>
    <row r="86" spans="1:5" x14ac:dyDescent="0.35">
      <c r="A86" s="2">
        <v>42107</v>
      </c>
      <c r="B86" s="26">
        <v>419.44000199999999</v>
      </c>
      <c r="C86" s="26">
        <v>17.817926</v>
      </c>
      <c r="D86" s="26">
        <v>113.470001</v>
      </c>
      <c r="E86" s="26">
        <v>46.775440000000003</v>
      </c>
    </row>
    <row r="87" spans="1:5" x14ac:dyDescent="0.35">
      <c r="A87" s="2">
        <v>42100</v>
      </c>
      <c r="B87" s="26">
        <v>425.64999399999999</v>
      </c>
      <c r="C87" s="26">
        <v>18.014809</v>
      </c>
      <c r="D87" s="26">
        <v>117.07</v>
      </c>
      <c r="E87" s="26">
        <v>47.536014999999999</v>
      </c>
    </row>
    <row r="88" spans="1:5" x14ac:dyDescent="0.35">
      <c r="A88" s="2">
        <v>42093</v>
      </c>
      <c r="B88" s="26">
        <v>412.44000199999999</v>
      </c>
      <c r="C88" s="26">
        <v>18.024652</v>
      </c>
      <c r="D88" s="26">
        <v>114.30999799999999</v>
      </c>
      <c r="E88" s="26">
        <v>45.805706000000001</v>
      </c>
    </row>
    <row r="89" spans="1:5" x14ac:dyDescent="0.35">
      <c r="A89" s="2">
        <v>42086</v>
      </c>
      <c r="B89" s="26">
        <v>429.86999500000002</v>
      </c>
      <c r="C89" s="26">
        <v>17.749018</v>
      </c>
      <c r="D89" s="26">
        <v>118.68</v>
      </c>
      <c r="E89" s="26">
        <v>46.784945999999998</v>
      </c>
    </row>
    <row r="90" spans="1:5" x14ac:dyDescent="0.35">
      <c r="A90" s="2">
        <v>42079</v>
      </c>
      <c r="B90" s="26">
        <v>475.98001099999999</v>
      </c>
      <c r="C90" s="26">
        <v>17.217431999999999</v>
      </c>
      <c r="D90" s="26">
        <v>128.5</v>
      </c>
      <c r="E90" s="26">
        <v>48.363140000000001</v>
      </c>
    </row>
    <row r="91" spans="1:5" x14ac:dyDescent="0.35">
      <c r="A91" s="2">
        <v>42072</v>
      </c>
      <c r="B91" s="26">
        <v>413.35000600000001</v>
      </c>
      <c r="C91" s="26">
        <v>16.981172999999998</v>
      </c>
      <c r="D91" s="26">
        <v>117.730003</v>
      </c>
      <c r="E91" s="26">
        <v>47.07967</v>
      </c>
    </row>
    <row r="92" spans="1:5" x14ac:dyDescent="0.35">
      <c r="A92" s="2">
        <v>42065</v>
      </c>
      <c r="B92" s="26">
        <v>417.63000499999998</v>
      </c>
      <c r="C92" s="26">
        <v>16.380678</v>
      </c>
      <c r="D92" s="26">
        <v>118.029999</v>
      </c>
      <c r="E92" s="26">
        <v>48.249054000000001</v>
      </c>
    </row>
    <row r="93" spans="1:5" x14ac:dyDescent="0.35">
      <c r="A93" s="2">
        <v>42058</v>
      </c>
      <c r="B93" s="26">
        <v>409.58999599999999</v>
      </c>
      <c r="C93" s="26">
        <v>15.967223000000001</v>
      </c>
      <c r="D93" s="26">
        <v>121.529999</v>
      </c>
      <c r="E93" s="26">
        <v>48.743431000000001</v>
      </c>
    </row>
    <row r="94" spans="1:5" x14ac:dyDescent="0.35">
      <c r="A94" s="2">
        <v>42052</v>
      </c>
      <c r="B94" s="26">
        <v>408.04998799999998</v>
      </c>
      <c r="C94" s="26">
        <v>16.154263</v>
      </c>
      <c r="D94" s="26">
        <v>123.43</v>
      </c>
      <c r="E94" s="26">
        <v>48.420184999999996</v>
      </c>
    </row>
    <row r="95" spans="1:5" x14ac:dyDescent="0.35">
      <c r="A95" s="2">
        <v>42044</v>
      </c>
      <c r="B95" s="26">
        <v>391.66000400000001</v>
      </c>
      <c r="C95" s="26">
        <v>16.400366000000002</v>
      </c>
      <c r="D95" s="26">
        <v>115.879997</v>
      </c>
      <c r="E95" s="26">
        <v>47.87162</v>
      </c>
    </row>
    <row r="96" spans="1:5" x14ac:dyDescent="0.35">
      <c r="A96" s="2">
        <v>42037</v>
      </c>
      <c r="B96" s="26">
        <v>402</v>
      </c>
      <c r="C96" s="26">
        <v>16.439565999999999</v>
      </c>
      <c r="D96" s="26">
        <v>118.75</v>
      </c>
      <c r="E96" s="26">
        <v>45.917484000000002</v>
      </c>
    </row>
    <row r="97" spans="1:5" x14ac:dyDescent="0.35">
      <c r="A97" s="2">
        <v>42030</v>
      </c>
      <c r="B97" s="26">
        <v>389.16000400000001</v>
      </c>
      <c r="C97" s="26">
        <v>15.683837</v>
      </c>
      <c r="D97" s="26">
        <v>119.160004</v>
      </c>
      <c r="E97" s="26">
        <v>42.575626</v>
      </c>
    </row>
    <row r="98" spans="1:5" x14ac:dyDescent="0.35">
      <c r="A98" s="2">
        <v>42024</v>
      </c>
      <c r="B98" s="26">
        <v>357.52999899999998</v>
      </c>
      <c r="C98" s="26">
        <v>16.351234000000002</v>
      </c>
      <c r="D98" s="26">
        <v>123.889999</v>
      </c>
      <c r="E98" s="26">
        <v>43.916148999999997</v>
      </c>
    </row>
    <row r="99" spans="1:5" x14ac:dyDescent="0.35">
      <c r="A99" s="2">
        <v>42016</v>
      </c>
      <c r="B99" s="26">
        <v>352.75</v>
      </c>
      <c r="C99" s="26">
        <v>16.027349000000001</v>
      </c>
      <c r="D99" s="26">
        <v>121.80999799999999</v>
      </c>
      <c r="E99" s="26">
        <v>42.330181000000003</v>
      </c>
    </row>
    <row r="100" spans="1:5" x14ac:dyDescent="0.35">
      <c r="A100" s="2">
        <v>42009</v>
      </c>
      <c r="B100" s="26">
        <v>342.33999599999999</v>
      </c>
      <c r="C100" s="26">
        <v>16.645674</v>
      </c>
      <c r="D100" s="26">
        <v>113.66999800000001</v>
      </c>
      <c r="E100" s="26">
        <v>42.028095</v>
      </c>
    </row>
    <row r="101" spans="1:5" x14ac:dyDescent="0.35">
      <c r="A101" s="2">
        <v>42002</v>
      </c>
      <c r="B101" s="26">
        <v>342.01001000000002</v>
      </c>
      <c r="C101" s="26">
        <v>16.822337999999998</v>
      </c>
      <c r="D101" s="26">
        <v>113.519997</v>
      </c>
      <c r="E101" s="26">
        <v>42.358500999999997</v>
      </c>
    </row>
    <row r="102" spans="1:5" x14ac:dyDescent="0.35">
      <c r="A102" s="2">
        <v>41995</v>
      </c>
      <c r="B102" s="26">
        <v>342.39999399999999</v>
      </c>
      <c r="C102" s="26">
        <v>17.165852000000001</v>
      </c>
      <c r="D102" s="26">
        <v>113.349998</v>
      </c>
      <c r="E102" s="26">
        <v>43.151485000000001</v>
      </c>
    </row>
    <row r="103" spans="1:5" x14ac:dyDescent="0.35">
      <c r="A103" s="2">
        <v>41988</v>
      </c>
      <c r="B103" s="26">
        <v>360.67001299999998</v>
      </c>
      <c r="C103" s="26">
        <v>16.596601</v>
      </c>
      <c r="D103" s="26">
        <v>117.18</v>
      </c>
      <c r="E103" s="26">
        <v>42.745552000000004</v>
      </c>
    </row>
    <row r="104" spans="1:5" x14ac:dyDescent="0.35">
      <c r="A104" s="2">
        <v>41981</v>
      </c>
      <c r="B104" s="26">
        <v>344.48998999999998</v>
      </c>
      <c r="C104" s="26">
        <v>16.15494</v>
      </c>
      <c r="D104" s="26">
        <v>114.489998</v>
      </c>
      <c r="E104" s="26">
        <v>41.253990000000002</v>
      </c>
    </row>
    <row r="105" spans="1:5" x14ac:dyDescent="0.35">
      <c r="A105" s="2">
        <v>41974</v>
      </c>
      <c r="B105" s="26">
        <v>340.86999500000002</v>
      </c>
      <c r="C105" s="26">
        <v>16.851782</v>
      </c>
      <c r="D105" s="26">
        <v>114.129997</v>
      </c>
      <c r="E105" s="26">
        <v>43.699019999999997</v>
      </c>
    </row>
    <row r="106" spans="1:5" x14ac:dyDescent="0.35">
      <c r="A106" s="2">
        <v>41967</v>
      </c>
      <c r="B106" s="26">
        <v>307.69000199999999</v>
      </c>
      <c r="C106" s="26">
        <v>16.655488999999999</v>
      </c>
      <c r="D106" s="26">
        <v>113.69000200000001</v>
      </c>
      <c r="E106" s="26">
        <v>42.622833</v>
      </c>
    </row>
    <row r="107" spans="1:5" x14ac:dyDescent="0.35">
      <c r="A107" s="2">
        <v>41960</v>
      </c>
      <c r="B107" s="26">
        <v>303.54998799999998</v>
      </c>
      <c r="C107" s="26">
        <v>17.077518000000001</v>
      </c>
      <c r="D107" s="26">
        <v>108.199997</v>
      </c>
      <c r="E107" s="26">
        <v>41.329509999999999</v>
      </c>
    </row>
    <row r="108" spans="1:5" x14ac:dyDescent="0.35">
      <c r="A108" s="2">
        <v>41953</v>
      </c>
      <c r="B108" s="26">
        <v>305.42999300000002</v>
      </c>
      <c r="C108" s="26">
        <v>16.478826999999999</v>
      </c>
      <c r="D108" s="26">
        <v>104.050003</v>
      </c>
      <c r="E108" s="26">
        <v>40.601131000000002</v>
      </c>
    </row>
    <row r="109" spans="1:5" x14ac:dyDescent="0.35">
      <c r="A109" s="2">
        <v>41946</v>
      </c>
      <c r="B109" s="26">
        <v>320.75</v>
      </c>
      <c r="C109" s="26">
        <v>17.126026</v>
      </c>
      <c r="D109" s="26">
        <v>106.449997</v>
      </c>
      <c r="E109" s="26">
        <v>40.395125999999998</v>
      </c>
    </row>
    <row r="110" spans="1:5" x14ac:dyDescent="0.35">
      <c r="A110" s="2">
        <v>41939</v>
      </c>
      <c r="B110" s="26">
        <v>321.07998700000002</v>
      </c>
      <c r="C110" s="26">
        <v>16.646498000000001</v>
      </c>
      <c r="D110" s="26">
        <v>107.089996</v>
      </c>
      <c r="E110" s="26">
        <v>40.367038999999998</v>
      </c>
    </row>
    <row r="111" spans="1:5" x14ac:dyDescent="0.35">
      <c r="A111" s="2">
        <v>41932</v>
      </c>
      <c r="B111" s="26">
        <v>321.67001299999998</v>
      </c>
      <c r="C111" s="26">
        <v>16.029959000000002</v>
      </c>
      <c r="D111" s="26">
        <v>103.239998</v>
      </c>
      <c r="E111" s="26">
        <v>38.428744999999999</v>
      </c>
    </row>
    <row r="112" spans="1:5" x14ac:dyDescent="0.35">
      <c r="A112" s="2">
        <v>41925</v>
      </c>
      <c r="B112" s="26">
        <v>306.709991</v>
      </c>
      <c r="C112" s="26">
        <v>16.519273999999999</v>
      </c>
      <c r="D112" s="26">
        <v>88.120002999999997</v>
      </c>
      <c r="E112" s="26">
        <v>35.947356999999997</v>
      </c>
    </row>
    <row r="113" spans="1:5" x14ac:dyDescent="0.35">
      <c r="A113" s="2">
        <v>41918</v>
      </c>
      <c r="B113" s="26">
        <v>315.14001500000001</v>
      </c>
      <c r="C113" s="26">
        <v>15.325347000000001</v>
      </c>
      <c r="D113" s="26">
        <v>90.93</v>
      </c>
      <c r="E113" s="26">
        <v>37.417461000000003</v>
      </c>
    </row>
    <row r="114" spans="1:5" x14ac:dyDescent="0.35">
      <c r="A114" s="2">
        <v>41911</v>
      </c>
      <c r="B114" s="26">
        <v>327.08999599999999</v>
      </c>
      <c r="C114" s="26">
        <v>15.462356</v>
      </c>
      <c r="D114" s="26">
        <v>95.209998999999996</v>
      </c>
      <c r="E114" s="26">
        <v>43.194884999999999</v>
      </c>
    </row>
    <row r="115" spans="1:5" x14ac:dyDescent="0.35">
      <c r="A115" s="2">
        <v>41904</v>
      </c>
      <c r="B115" s="26">
        <v>333.540009</v>
      </c>
      <c r="C115" s="26">
        <v>15.844021</v>
      </c>
      <c r="D115" s="26">
        <v>94.459998999999996</v>
      </c>
      <c r="E115" s="26">
        <v>44.571350000000002</v>
      </c>
    </row>
    <row r="116" spans="1:5" x14ac:dyDescent="0.35">
      <c r="A116" s="2">
        <v>41897</v>
      </c>
      <c r="B116" s="26">
        <v>329.23998999999998</v>
      </c>
      <c r="C116" s="26">
        <v>16.333335999999999</v>
      </c>
      <c r="D116" s="26">
        <v>93.849997999999999</v>
      </c>
      <c r="E116" s="26">
        <v>45.348540999999997</v>
      </c>
    </row>
    <row r="117" spans="1:5" x14ac:dyDescent="0.35">
      <c r="A117" s="2">
        <v>41890</v>
      </c>
      <c r="B117" s="26">
        <v>323.39001500000001</v>
      </c>
      <c r="C117" s="26">
        <v>16.255047000000001</v>
      </c>
      <c r="D117" s="26">
        <v>91.519997000000004</v>
      </c>
      <c r="E117" s="26">
        <v>44.636898000000002</v>
      </c>
    </row>
    <row r="118" spans="1:5" x14ac:dyDescent="0.35">
      <c r="A118" s="2">
        <v>41884</v>
      </c>
      <c r="B118" s="26">
        <v>330.48001099999999</v>
      </c>
      <c r="C118" s="26">
        <v>16.382266999999999</v>
      </c>
      <c r="D118" s="26">
        <v>93.790001000000004</v>
      </c>
      <c r="E118" s="26">
        <v>45.741816999999998</v>
      </c>
    </row>
    <row r="119" spans="1:5" x14ac:dyDescent="0.35">
      <c r="A119" s="2">
        <v>41876</v>
      </c>
      <c r="B119" s="26">
        <v>343.040009</v>
      </c>
      <c r="C119" s="26">
        <v>16.617138000000001</v>
      </c>
      <c r="D119" s="26">
        <v>95.019997000000004</v>
      </c>
      <c r="E119" s="26">
        <v>45.723090999999997</v>
      </c>
    </row>
    <row r="120" spans="1:5" x14ac:dyDescent="0.35">
      <c r="A120" s="2">
        <v>41869</v>
      </c>
      <c r="B120" s="26">
        <v>339.97000100000002</v>
      </c>
      <c r="C120" s="26">
        <v>16.636710999999998</v>
      </c>
      <c r="D120" s="26">
        <v>91.620002999999997</v>
      </c>
      <c r="E120" s="26">
        <v>44.730536999999998</v>
      </c>
    </row>
    <row r="121" spans="1:5" x14ac:dyDescent="0.35">
      <c r="A121" s="2">
        <v>41862</v>
      </c>
      <c r="B121" s="26">
        <v>342.47000100000002</v>
      </c>
      <c r="C121" s="26">
        <v>16.900942000000001</v>
      </c>
      <c r="D121" s="26">
        <v>89.610000999999997</v>
      </c>
      <c r="E121" s="26">
        <v>44.020226000000001</v>
      </c>
    </row>
    <row r="122" spans="1:5" x14ac:dyDescent="0.35">
      <c r="A122" s="2">
        <v>41855</v>
      </c>
      <c r="B122" s="26">
        <v>324.04998799999998</v>
      </c>
      <c r="C122" s="26">
        <v>16.490658</v>
      </c>
      <c r="D122" s="26">
        <v>86.510002</v>
      </c>
      <c r="E122" s="26">
        <v>42.719231000000001</v>
      </c>
    </row>
    <row r="123" spans="1:5" x14ac:dyDescent="0.35">
      <c r="A123" s="2">
        <v>41848</v>
      </c>
      <c r="B123" s="26">
        <v>329.82998700000002</v>
      </c>
      <c r="C123" s="26">
        <v>15.973496000000001</v>
      </c>
      <c r="D123" s="26">
        <v>86.650002000000001</v>
      </c>
      <c r="E123" s="26">
        <v>42.784278999999998</v>
      </c>
    </row>
    <row r="124" spans="1:5" x14ac:dyDescent="0.35">
      <c r="A124" s="2">
        <v>41841</v>
      </c>
      <c r="B124" s="26">
        <v>335.45001200000002</v>
      </c>
      <c r="C124" s="26">
        <v>16.100345999999998</v>
      </c>
      <c r="D124" s="26">
        <v>87.160004000000001</v>
      </c>
      <c r="E124" s="26">
        <v>42.654178999999999</v>
      </c>
    </row>
    <row r="125" spans="1:5" x14ac:dyDescent="0.35">
      <c r="A125" s="2">
        <v>41834</v>
      </c>
      <c r="B125" s="26">
        <v>304.10000600000001</v>
      </c>
      <c r="C125" s="26">
        <v>16.158894</v>
      </c>
      <c r="D125" s="26">
        <v>85.059997999999993</v>
      </c>
      <c r="E125" s="26">
        <v>45.107491000000003</v>
      </c>
    </row>
    <row r="126" spans="1:5" x14ac:dyDescent="0.35">
      <c r="A126" s="2">
        <v>41827</v>
      </c>
      <c r="B126" s="26">
        <v>322.22000100000002</v>
      </c>
      <c r="C126" s="26">
        <v>16.090588</v>
      </c>
      <c r="D126" s="26">
        <v>89.190002000000007</v>
      </c>
      <c r="E126" s="26">
        <v>45.609305999999997</v>
      </c>
    </row>
    <row r="127" spans="1:5" x14ac:dyDescent="0.35">
      <c r="A127" s="2">
        <v>41820</v>
      </c>
      <c r="B127" s="26">
        <v>331.14999399999999</v>
      </c>
      <c r="C127" s="26">
        <v>16.910242</v>
      </c>
      <c r="D127" s="26">
        <v>90.190002000000007</v>
      </c>
      <c r="E127" s="26">
        <v>46.306271000000002</v>
      </c>
    </row>
    <row r="128" spans="1:5" x14ac:dyDescent="0.35">
      <c r="A128" s="2">
        <v>41813</v>
      </c>
      <c r="B128" s="26">
        <v>318.13000499999998</v>
      </c>
      <c r="C128" s="26">
        <v>16.695571999999999</v>
      </c>
      <c r="D128" s="26">
        <v>86.800003000000004</v>
      </c>
      <c r="E128" s="26">
        <v>45.219006</v>
      </c>
    </row>
    <row r="129" spans="1:5" x14ac:dyDescent="0.35">
      <c r="A129" s="2">
        <v>41806</v>
      </c>
      <c r="B129" s="26">
        <v>319.58999599999999</v>
      </c>
      <c r="C129" s="26">
        <v>17.359102</v>
      </c>
      <c r="D129" s="26">
        <v>85.730002999999996</v>
      </c>
      <c r="E129" s="26">
        <v>45.869503000000002</v>
      </c>
    </row>
    <row r="130" spans="1:5" x14ac:dyDescent="0.35">
      <c r="A130" s="2">
        <v>41799</v>
      </c>
      <c r="B130" s="26">
        <v>309.98001099999999</v>
      </c>
      <c r="C130" s="26">
        <v>17.076125999999999</v>
      </c>
      <c r="D130" s="26">
        <v>79.995002999999997</v>
      </c>
      <c r="E130" s="26">
        <v>45.665061999999999</v>
      </c>
    </row>
    <row r="131" spans="1:5" x14ac:dyDescent="0.35">
      <c r="A131" s="2">
        <v>41792</v>
      </c>
      <c r="B131" s="26">
        <v>317.54998799999998</v>
      </c>
      <c r="C131" s="26">
        <v>17.544498000000001</v>
      </c>
      <c r="D131" s="26">
        <v>80.654999000000004</v>
      </c>
      <c r="E131" s="26">
        <v>45.209713000000001</v>
      </c>
    </row>
    <row r="132" spans="1:5" x14ac:dyDescent="0.35">
      <c r="A132" s="2">
        <v>41786</v>
      </c>
      <c r="B132" s="26">
        <v>319.36999500000002</v>
      </c>
      <c r="C132" s="26">
        <v>16.549204</v>
      </c>
      <c r="D132" s="26">
        <v>76.514999000000003</v>
      </c>
      <c r="E132" s="26">
        <v>44.233963000000003</v>
      </c>
    </row>
    <row r="133" spans="1:5" x14ac:dyDescent="0.35">
      <c r="A133" s="2">
        <v>41778</v>
      </c>
      <c r="B133" s="26">
        <v>299.709991</v>
      </c>
      <c r="C133" s="26">
        <v>16.041799999999999</v>
      </c>
      <c r="D133" s="26">
        <v>75.065002000000007</v>
      </c>
      <c r="E133" s="26">
        <v>43.360435000000003</v>
      </c>
    </row>
    <row r="134" spans="1:5" x14ac:dyDescent="0.35">
      <c r="A134" s="2">
        <v>41771</v>
      </c>
      <c r="B134" s="26">
        <v>291.32000699999998</v>
      </c>
      <c r="C134" s="26">
        <v>16.227198000000001</v>
      </c>
      <c r="D134" s="26">
        <v>73.660004000000001</v>
      </c>
      <c r="E134" s="26">
        <v>42.787998000000002</v>
      </c>
    </row>
    <row r="135" spans="1:5" x14ac:dyDescent="0.35">
      <c r="A135" s="2">
        <v>41764</v>
      </c>
      <c r="B135" s="26">
        <v>286.64999399999999</v>
      </c>
      <c r="C135" s="26">
        <v>16.178728</v>
      </c>
      <c r="D135" s="26">
        <v>73.334998999999996</v>
      </c>
      <c r="E135" s="26">
        <v>43.230632999999997</v>
      </c>
    </row>
    <row r="136" spans="1:5" x14ac:dyDescent="0.35">
      <c r="A136" s="2">
        <v>41757</v>
      </c>
      <c r="B136" s="26">
        <v>282.01001000000002</v>
      </c>
      <c r="C136" s="26">
        <v>15.672840000000001</v>
      </c>
      <c r="D136" s="26">
        <v>73.699996999999996</v>
      </c>
      <c r="E136" s="26">
        <v>43.129192000000003</v>
      </c>
    </row>
    <row r="137" spans="1:5" x14ac:dyDescent="0.35">
      <c r="A137" s="2">
        <v>41750</v>
      </c>
      <c r="B137" s="26">
        <v>285.80999800000001</v>
      </c>
      <c r="C137" s="26">
        <v>16.023069</v>
      </c>
      <c r="D137" s="26">
        <v>71.029999000000004</v>
      </c>
      <c r="E137" s="26">
        <v>43.488833999999997</v>
      </c>
    </row>
    <row r="138" spans="1:5" x14ac:dyDescent="0.35">
      <c r="A138" s="2">
        <v>41743</v>
      </c>
      <c r="B138" s="26">
        <v>290.540009</v>
      </c>
      <c r="C138" s="26">
        <v>16.373301999999999</v>
      </c>
      <c r="D138" s="26">
        <v>70.754997000000003</v>
      </c>
      <c r="E138" s="26">
        <v>43.645603000000001</v>
      </c>
    </row>
    <row r="139" spans="1:5" x14ac:dyDescent="0.35">
      <c r="A139" s="2">
        <v>41736</v>
      </c>
      <c r="B139" s="26">
        <v>274</v>
      </c>
      <c r="C139" s="26">
        <v>16.061985</v>
      </c>
      <c r="D139" s="26">
        <v>68.449996999999996</v>
      </c>
      <c r="E139" s="26">
        <v>42.843322999999998</v>
      </c>
    </row>
    <row r="140" spans="1:5" x14ac:dyDescent="0.35">
      <c r="A140" s="2">
        <v>41729</v>
      </c>
      <c r="B140" s="26">
        <v>288.26998900000001</v>
      </c>
      <c r="C140" s="26">
        <v>16.470589</v>
      </c>
      <c r="D140" s="26">
        <v>68.690002000000007</v>
      </c>
      <c r="E140" s="26">
        <v>43.507277999999999</v>
      </c>
    </row>
    <row r="141" spans="1:5" x14ac:dyDescent="0.35">
      <c r="A141" s="2">
        <v>41722</v>
      </c>
      <c r="B141" s="26">
        <v>294.11999500000002</v>
      </c>
      <c r="C141" s="26">
        <v>16.694347</v>
      </c>
      <c r="D141" s="26">
        <v>69.644997000000004</v>
      </c>
      <c r="E141" s="26">
        <v>43.267513000000001</v>
      </c>
    </row>
    <row r="142" spans="1:5" x14ac:dyDescent="0.35">
      <c r="A142" s="2">
        <v>41715</v>
      </c>
      <c r="B142" s="26">
        <v>318.52999899999998</v>
      </c>
      <c r="C142" s="26">
        <v>17.560196000000001</v>
      </c>
      <c r="D142" s="26">
        <v>72.199996999999996</v>
      </c>
      <c r="E142" s="26">
        <v>43.756259999999997</v>
      </c>
    </row>
    <row r="143" spans="1:5" x14ac:dyDescent="0.35">
      <c r="A143" s="2">
        <v>41708</v>
      </c>
      <c r="B143" s="26">
        <v>332.48998999999998</v>
      </c>
      <c r="C143" s="26">
        <v>17.064035000000001</v>
      </c>
      <c r="D143" s="26">
        <v>74.705001999999993</v>
      </c>
      <c r="E143" s="26">
        <v>42.483685000000001</v>
      </c>
    </row>
    <row r="144" spans="1:5" x14ac:dyDescent="0.35">
      <c r="A144" s="2">
        <v>41701</v>
      </c>
      <c r="B144" s="26">
        <v>328.75</v>
      </c>
      <c r="C144" s="26">
        <v>18.241201</v>
      </c>
      <c r="D144" s="26">
        <v>78.279999000000004</v>
      </c>
      <c r="E144" s="26">
        <v>42.953986999999998</v>
      </c>
    </row>
    <row r="145" spans="1:5" x14ac:dyDescent="0.35">
      <c r="A145" s="2">
        <v>41694</v>
      </c>
      <c r="B145" s="26">
        <v>340.67999300000002</v>
      </c>
      <c r="C145" s="26">
        <v>16.95702</v>
      </c>
      <c r="D145" s="26">
        <v>80.375</v>
      </c>
      <c r="E145" s="26">
        <v>42.004162000000001</v>
      </c>
    </row>
    <row r="146" spans="1:5" x14ac:dyDescent="0.35">
      <c r="A146" s="2">
        <v>41688</v>
      </c>
      <c r="B146" s="26">
        <v>347.10998499999999</v>
      </c>
      <c r="C146" s="26">
        <v>16.694347</v>
      </c>
      <c r="D146" s="26">
        <v>80.485000999999997</v>
      </c>
      <c r="E146" s="26">
        <v>41.736736000000001</v>
      </c>
    </row>
    <row r="147" spans="1:5" x14ac:dyDescent="0.35">
      <c r="A147" s="2">
        <v>41680</v>
      </c>
      <c r="B147" s="26">
        <v>328.290009</v>
      </c>
      <c r="C147" s="26">
        <v>16.363572999999999</v>
      </c>
      <c r="D147" s="26">
        <v>81.964995999999999</v>
      </c>
      <c r="E147" s="26">
        <v>41.868580000000001</v>
      </c>
    </row>
    <row r="148" spans="1:5" x14ac:dyDescent="0.35">
      <c r="A148" s="2">
        <v>41673</v>
      </c>
      <c r="B148" s="26">
        <v>315.540009</v>
      </c>
      <c r="C148" s="26">
        <v>16.294916000000001</v>
      </c>
      <c r="D148" s="26">
        <v>78.440002000000007</v>
      </c>
      <c r="E148" s="26">
        <v>40.660831000000002</v>
      </c>
    </row>
    <row r="149" spans="1:5" x14ac:dyDescent="0.35">
      <c r="A149" s="2">
        <v>41666</v>
      </c>
      <c r="B149" s="26">
        <v>312.64001500000001</v>
      </c>
      <c r="C149" s="26">
        <v>16.459804999999999</v>
      </c>
      <c r="D149" s="26">
        <v>75.964995999999999</v>
      </c>
      <c r="E149" s="26">
        <v>41.045116</v>
      </c>
    </row>
    <row r="150" spans="1:5" x14ac:dyDescent="0.35">
      <c r="A150" s="2">
        <v>41660</v>
      </c>
      <c r="B150" s="26">
        <v>303.60000600000001</v>
      </c>
      <c r="C150" s="26">
        <v>16.294916000000001</v>
      </c>
      <c r="D150" s="26">
        <v>80.610000999999997</v>
      </c>
      <c r="E150" s="26">
        <v>40.331451000000001</v>
      </c>
    </row>
    <row r="151" spans="1:5" x14ac:dyDescent="0.35">
      <c r="A151" s="2">
        <v>41652</v>
      </c>
      <c r="B151" s="26">
        <v>297.48001099999999</v>
      </c>
      <c r="C151" s="26">
        <v>16.624693000000001</v>
      </c>
      <c r="D151" s="26">
        <v>83.519997000000004</v>
      </c>
      <c r="E151" s="26">
        <v>42.271163999999999</v>
      </c>
    </row>
    <row r="152" spans="1:5" x14ac:dyDescent="0.35">
      <c r="A152" s="2">
        <v>41645</v>
      </c>
      <c r="B152" s="26">
        <v>299.30999800000001</v>
      </c>
      <c r="C152" s="26">
        <v>16.566497999999999</v>
      </c>
      <c r="D152" s="26">
        <v>84.904999000000004</v>
      </c>
      <c r="E152" s="26">
        <v>41.237259000000002</v>
      </c>
    </row>
    <row r="153" spans="1:5" x14ac:dyDescent="0.35">
      <c r="A153" s="2">
        <v>41638</v>
      </c>
      <c r="B153" s="26">
        <v>277.39999399999999</v>
      </c>
      <c r="C153" s="26">
        <v>16.479203999999999</v>
      </c>
      <c r="D153" s="26">
        <v>84.904999000000004</v>
      </c>
      <c r="E153" s="26">
        <v>40.752330999999998</v>
      </c>
    </row>
    <row r="154" spans="1:5" x14ac:dyDescent="0.35">
      <c r="A154" s="2">
        <v>41631</v>
      </c>
      <c r="B154" s="26">
        <v>277.17001299999998</v>
      </c>
      <c r="C154" s="26">
        <v>16.537399000000001</v>
      </c>
      <c r="D154" s="26">
        <v>84.464995999999999</v>
      </c>
      <c r="E154" s="26">
        <v>40.514439000000003</v>
      </c>
    </row>
    <row r="155" spans="1:5" x14ac:dyDescent="0.35">
      <c r="A155" s="2">
        <v>41624</v>
      </c>
      <c r="B155" s="26">
        <v>283.33999599999999</v>
      </c>
      <c r="C155" s="26">
        <v>15.470470000000001</v>
      </c>
      <c r="D155" s="26">
        <v>83.739998</v>
      </c>
      <c r="E155" s="26">
        <v>39.727573</v>
      </c>
    </row>
    <row r="156" spans="1:5" x14ac:dyDescent="0.35">
      <c r="A156" s="2">
        <v>41617</v>
      </c>
      <c r="B156" s="26">
        <v>275.32000699999998</v>
      </c>
      <c r="C156" s="26">
        <v>15.809948</v>
      </c>
      <c r="D156" s="26">
        <v>82.449996999999996</v>
      </c>
      <c r="E156" s="26">
        <v>37.998299000000003</v>
      </c>
    </row>
    <row r="157" spans="1:5" x14ac:dyDescent="0.35">
      <c r="A157" s="2">
        <v>41610</v>
      </c>
      <c r="B157" s="26">
        <v>290.89999399999999</v>
      </c>
      <c r="C157" s="26">
        <v>13.97677</v>
      </c>
      <c r="D157" s="26">
        <v>83.214995999999999</v>
      </c>
      <c r="E157" s="26">
        <v>39.855671000000001</v>
      </c>
    </row>
    <row r="158" spans="1:5" x14ac:dyDescent="0.35">
      <c r="A158" s="2">
        <v>41603</v>
      </c>
      <c r="B158" s="26">
        <v>290.97000100000002</v>
      </c>
      <c r="C158" s="26">
        <v>14.772117</v>
      </c>
      <c r="D158" s="26">
        <v>80.885002</v>
      </c>
      <c r="E158" s="26">
        <v>39.608631000000003</v>
      </c>
    </row>
    <row r="159" spans="1:5" x14ac:dyDescent="0.35">
      <c r="A159" s="2">
        <v>41596</v>
      </c>
      <c r="B159" s="26">
        <v>285.61999500000002</v>
      </c>
      <c r="C159" s="26">
        <v>13.482101999999999</v>
      </c>
      <c r="D159" s="26">
        <v>81.665001000000004</v>
      </c>
      <c r="E159" s="26">
        <v>40.084412</v>
      </c>
    </row>
    <row r="160" spans="1:5" x14ac:dyDescent="0.35">
      <c r="A160" s="2">
        <v>41589</v>
      </c>
      <c r="B160" s="26">
        <v>245.08999600000001</v>
      </c>
      <c r="C160" s="26">
        <v>12.754651000000001</v>
      </c>
      <c r="D160" s="26">
        <v>75.555000000000007</v>
      </c>
      <c r="E160" s="26">
        <v>39.575581</v>
      </c>
    </row>
    <row r="161" spans="1:5" x14ac:dyDescent="0.35">
      <c r="A161" s="2">
        <v>41582</v>
      </c>
      <c r="B161" s="26">
        <v>236.69000199999999</v>
      </c>
      <c r="C161" s="26">
        <v>13.159984</v>
      </c>
      <c r="D161" s="26">
        <v>74.459998999999996</v>
      </c>
      <c r="E161" s="26">
        <v>38.922187999999998</v>
      </c>
    </row>
    <row r="162" spans="1:5" x14ac:dyDescent="0.35">
      <c r="A162" s="2">
        <v>41575</v>
      </c>
      <c r="B162" s="26">
        <v>243.10000600000001</v>
      </c>
      <c r="C162" s="26">
        <v>12.589911000000001</v>
      </c>
      <c r="D162" s="26">
        <v>75.654999000000004</v>
      </c>
      <c r="E162" s="26">
        <v>38.604568</v>
      </c>
    </row>
    <row r="163" spans="1:5" x14ac:dyDescent="0.35">
      <c r="A163" s="2">
        <v>41568</v>
      </c>
      <c r="B163" s="26">
        <v>252.259995</v>
      </c>
      <c r="C163" s="26">
        <v>12.599572999999999</v>
      </c>
      <c r="D163" s="26">
        <v>77.870002999999997</v>
      </c>
      <c r="E163" s="26">
        <v>35.274082</v>
      </c>
    </row>
    <row r="164" spans="1:5" x14ac:dyDescent="0.35">
      <c r="A164" s="2">
        <v>41561</v>
      </c>
      <c r="B164" s="26">
        <v>244.89999399999999</v>
      </c>
      <c r="C164" s="26">
        <v>12.754168999999999</v>
      </c>
      <c r="D164" s="26">
        <v>80.275002000000001</v>
      </c>
      <c r="E164" s="26">
        <v>36.571793</v>
      </c>
    </row>
    <row r="165" spans="1:5" x14ac:dyDescent="0.35">
      <c r="A165" s="2">
        <v>41554</v>
      </c>
      <c r="B165" s="26">
        <v>234.800003</v>
      </c>
      <c r="C165" s="26">
        <v>12.744507</v>
      </c>
      <c r="D165" s="26">
        <v>76.584998999999996</v>
      </c>
      <c r="E165" s="26">
        <v>36.390293</v>
      </c>
    </row>
    <row r="166" spans="1:5" x14ac:dyDescent="0.35">
      <c r="A166" s="2">
        <v>41547</v>
      </c>
      <c r="B166" s="26">
        <v>240.300003</v>
      </c>
      <c r="C166" s="26">
        <v>12.425653000000001</v>
      </c>
      <c r="D166" s="26">
        <v>78.635002</v>
      </c>
      <c r="E166" s="26">
        <v>35.745975000000001</v>
      </c>
    </row>
    <row r="167" spans="1:5" x14ac:dyDescent="0.35">
      <c r="A167" s="2">
        <v>41540</v>
      </c>
      <c r="B167" s="26">
        <v>244.820007</v>
      </c>
      <c r="C167" s="26">
        <v>12.696197</v>
      </c>
      <c r="D167" s="26">
        <v>77.305000000000007</v>
      </c>
      <c r="E167" s="26">
        <v>36.571793</v>
      </c>
    </row>
    <row r="168" spans="1:5" x14ac:dyDescent="0.35">
      <c r="A168" s="2">
        <v>41533</v>
      </c>
      <c r="B168" s="26">
        <v>248.13000500000001</v>
      </c>
      <c r="C168" s="26">
        <v>13.159984</v>
      </c>
      <c r="D168" s="26">
        <v>74.930000000000007</v>
      </c>
      <c r="E168" s="26">
        <v>36.517344999999999</v>
      </c>
    </row>
    <row r="169" spans="1:5" x14ac:dyDescent="0.35">
      <c r="A169" s="2">
        <v>41526</v>
      </c>
      <c r="B169" s="26">
        <v>234.71000699999999</v>
      </c>
      <c r="C169" s="26">
        <v>12.329031000000001</v>
      </c>
      <c r="D169" s="26">
        <v>74.739998</v>
      </c>
      <c r="E169" s="26">
        <v>35.936549999999997</v>
      </c>
    </row>
    <row r="170" spans="1:5" x14ac:dyDescent="0.35">
      <c r="A170" s="2">
        <v>41520</v>
      </c>
      <c r="B170" s="26">
        <v>225.179993</v>
      </c>
      <c r="C170" s="26">
        <v>12.348355</v>
      </c>
      <c r="D170" s="26">
        <v>73.485000999999997</v>
      </c>
      <c r="E170" s="26">
        <v>35.301310999999998</v>
      </c>
    </row>
    <row r="171" spans="1:5" x14ac:dyDescent="0.35">
      <c r="A171" s="2">
        <v>41512</v>
      </c>
      <c r="B171" s="26">
        <v>213.020004</v>
      </c>
      <c r="C171" s="26">
        <v>12.580249999999999</v>
      </c>
      <c r="D171" s="26">
        <v>69.989998</v>
      </c>
      <c r="E171" s="26">
        <v>35.219634999999997</v>
      </c>
    </row>
    <row r="172" spans="1:5" x14ac:dyDescent="0.35">
      <c r="A172" s="2">
        <v>41505</v>
      </c>
      <c r="B172" s="26">
        <v>211.38000500000001</v>
      </c>
      <c r="C172" s="26">
        <v>12.976400999999999</v>
      </c>
      <c r="D172" s="26">
        <v>69.135002</v>
      </c>
      <c r="E172" s="26">
        <v>35.464657000000003</v>
      </c>
    </row>
    <row r="173" spans="1:5" x14ac:dyDescent="0.35">
      <c r="A173" s="2">
        <v>41498</v>
      </c>
      <c r="B173" s="26">
        <v>206.88999899999999</v>
      </c>
      <c r="C173" s="26">
        <v>13.256607000000001</v>
      </c>
      <c r="D173" s="26">
        <v>66.245002999999997</v>
      </c>
      <c r="E173" s="26">
        <v>35.533622999999999</v>
      </c>
    </row>
    <row r="174" spans="1:5" x14ac:dyDescent="0.35">
      <c r="A174" s="2">
        <v>41491</v>
      </c>
      <c r="B174" s="26">
        <v>212.35000600000001</v>
      </c>
      <c r="C174" s="26">
        <v>13.391878</v>
      </c>
      <c r="D174" s="26">
        <v>71.035004000000001</v>
      </c>
      <c r="E174" s="26">
        <v>36.522919000000002</v>
      </c>
    </row>
    <row r="175" spans="1:5" x14ac:dyDescent="0.35">
      <c r="A175" s="2">
        <v>41484</v>
      </c>
      <c r="B175" s="26">
        <v>227.759995</v>
      </c>
      <c r="C175" s="26">
        <v>13.594955000000001</v>
      </c>
      <c r="D175" s="26">
        <v>73.675003000000004</v>
      </c>
      <c r="E175" s="26">
        <v>37.305359000000003</v>
      </c>
    </row>
    <row r="176" spans="1:5" x14ac:dyDescent="0.35">
      <c r="A176" s="2">
        <v>41477</v>
      </c>
      <c r="B176" s="26">
        <v>223.229996</v>
      </c>
      <c r="C176" s="26">
        <v>13.007638999999999</v>
      </c>
      <c r="D176" s="26">
        <v>71.970000999999996</v>
      </c>
      <c r="E176" s="26">
        <v>35.335766</v>
      </c>
    </row>
    <row r="177" spans="1:5" x14ac:dyDescent="0.35">
      <c r="A177" s="2">
        <v>41470</v>
      </c>
      <c r="B177" s="26">
        <v>230.270004</v>
      </c>
      <c r="C177" s="26">
        <v>13.604585</v>
      </c>
      <c r="D177" s="26">
        <v>67.944999999999993</v>
      </c>
      <c r="E177" s="26">
        <v>35.857391</v>
      </c>
    </row>
    <row r="178" spans="1:5" x14ac:dyDescent="0.35">
      <c r="A178" s="2">
        <v>41463</v>
      </c>
      <c r="B178" s="26">
        <v>226.33999600000001</v>
      </c>
      <c r="C178" s="26">
        <v>13.132804999999999</v>
      </c>
      <c r="D178" s="26">
        <v>67.279999000000004</v>
      </c>
      <c r="E178" s="26">
        <v>35.470669000000001</v>
      </c>
    </row>
    <row r="179" spans="1:5" x14ac:dyDescent="0.35">
      <c r="A179" s="2">
        <v>41456</v>
      </c>
      <c r="B179" s="26">
        <v>221.64999399999999</v>
      </c>
      <c r="C179" s="26">
        <v>11.861888</v>
      </c>
      <c r="D179" s="26">
        <v>61.240001999999997</v>
      </c>
      <c r="E179" s="26">
        <v>34.382446000000002</v>
      </c>
    </row>
    <row r="180" spans="1:5" x14ac:dyDescent="0.35">
      <c r="A180" s="2">
        <v>41449</v>
      </c>
      <c r="B180" s="26">
        <v>215.199997</v>
      </c>
      <c r="C180" s="26">
        <v>10.995354000000001</v>
      </c>
      <c r="D180" s="26">
        <v>58.490001999999997</v>
      </c>
      <c r="E180" s="26">
        <v>33.501075999999998</v>
      </c>
    </row>
    <row r="181" spans="1:5" x14ac:dyDescent="0.35">
      <c r="A181" s="2">
        <v>41442</v>
      </c>
      <c r="B181" s="26">
        <v>199.070007</v>
      </c>
      <c r="C181" s="26">
        <v>10.340638999999999</v>
      </c>
      <c r="D181" s="26">
        <v>56.945</v>
      </c>
      <c r="E181" s="26">
        <v>33.051394999999999</v>
      </c>
    </row>
    <row r="182" spans="1:5" x14ac:dyDescent="0.35">
      <c r="A182" s="2">
        <v>41435</v>
      </c>
      <c r="B182" s="26">
        <v>211.990005</v>
      </c>
      <c r="C182" s="26">
        <v>10.408037</v>
      </c>
      <c r="D182" s="26">
        <v>59.68</v>
      </c>
      <c r="E182" s="26">
        <v>33.31221</v>
      </c>
    </row>
    <row r="183" spans="1:5" x14ac:dyDescent="0.35">
      <c r="A183" s="2">
        <v>41428</v>
      </c>
      <c r="B183" s="26">
        <v>225.020004</v>
      </c>
      <c r="C183" s="26">
        <v>10.388780000000001</v>
      </c>
      <c r="D183" s="26">
        <v>60.205002</v>
      </c>
      <c r="E183" s="26">
        <v>33.006428</v>
      </c>
    </row>
    <row r="184" spans="1:5" x14ac:dyDescent="0.35">
      <c r="A184" s="2">
        <v>41422</v>
      </c>
      <c r="B184" s="26">
        <v>237.490005</v>
      </c>
      <c r="C184" s="26">
        <v>10.408037</v>
      </c>
      <c r="D184" s="26">
        <v>61.825001</v>
      </c>
      <c r="E184" s="26">
        <v>32.808571000000001</v>
      </c>
    </row>
    <row r="185" spans="1:5" x14ac:dyDescent="0.35">
      <c r="A185" s="2">
        <v>41414</v>
      </c>
      <c r="B185" s="26">
        <v>235.240005</v>
      </c>
      <c r="C185" s="26">
        <v>10.350267000000001</v>
      </c>
      <c r="D185" s="26">
        <v>61.290000999999997</v>
      </c>
      <c r="E185" s="26">
        <v>32.664673000000001</v>
      </c>
    </row>
    <row r="186" spans="1:5" x14ac:dyDescent="0.35">
      <c r="A186" s="2">
        <v>41407</v>
      </c>
      <c r="B186" s="26">
        <v>226.85000600000001</v>
      </c>
      <c r="C186" s="26">
        <v>10.080679</v>
      </c>
      <c r="D186" s="26">
        <v>62.455002</v>
      </c>
      <c r="E186" s="26">
        <v>33.348185999999998</v>
      </c>
    </row>
    <row r="187" spans="1:5" x14ac:dyDescent="0.35">
      <c r="A187" s="2">
        <v>41400</v>
      </c>
      <c r="B187" s="26">
        <v>213.220001</v>
      </c>
      <c r="C187" s="26">
        <v>9.9843980000000006</v>
      </c>
      <c r="D187" s="26">
        <v>63.73</v>
      </c>
      <c r="E187" s="26">
        <v>33.150753000000002</v>
      </c>
    </row>
    <row r="188" spans="1:5" x14ac:dyDescent="0.35">
      <c r="A188" s="2">
        <v>41393</v>
      </c>
      <c r="B188" s="26">
        <v>218.85000600000001</v>
      </c>
      <c r="C188" s="26">
        <v>9.8701329999999992</v>
      </c>
      <c r="D188" s="26">
        <v>60.82</v>
      </c>
      <c r="E188" s="26">
        <v>33.453662999999999</v>
      </c>
    </row>
    <row r="189" spans="1:5" x14ac:dyDescent="0.35">
      <c r="A189" s="2">
        <v>41386</v>
      </c>
      <c r="B189" s="26">
        <v>213.58999600000001</v>
      </c>
      <c r="C189" s="26">
        <v>9.5155750000000001</v>
      </c>
      <c r="D189" s="26">
        <v>60.169998</v>
      </c>
      <c r="E189" s="26">
        <v>31.716387000000001</v>
      </c>
    </row>
    <row r="190" spans="1:5" x14ac:dyDescent="0.35">
      <c r="A190" s="2">
        <v>41379</v>
      </c>
      <c r="B190" s="26">
        <v>203.270004</v>
      </c>
      <c r="C190" s="26">
        <v>9.5634879999999995</v>
      </c>
      <c r="D190" s="26">
        <v>61.18</v>
      </c>
      <c r="E190" s="26">
        <v>30.593841999999999</v>
      </c>
    </row>
    <row r="191" spans="1:5" x14ac:dyDescent="0.35">
      <c r="A191" s="2">
        <v>41372</v>
      </c>
      <c r="B191" s="26">
        <v>207.009995</v>
      </c>
      <c r="C191" s="26">
        <v>9.7263929999999998</v>
      </c>
      <c r="D191" s="26">
        <v>61.5</v>
      </c>
      <c r="E191" s="26">
        <v>32.348934</v>
      </c>
    </row>
    <row r="192" spans="1:5" x14ac:dyDescent="0.35">
      <c r="A192" s="2">
        <v>41365</v>
      </c>
      <c r="B192" s="26">
        <v>193.30999800000001</v>
      </c>
      <c r="C192" s="26">
        <v>9.5730710000000006</v>
      </c>
      <c r="D192" s="26">
        <v>58.215000000000003</v>
      </c>
      <c r="E192" s="26">
        <v>31.662935000000001</v>
      </c>
    </row>
    <row r="193" spans="1:5" x14ac:dyDescent="0.35">
      <c r="A193" s="2">
        <v>41358</v>
      </c>
      <c r="B193" s="26">
        <v>192.61999499999999</v>
      </c>
      <c r="C193" s="26">
        <v>9.6018190000000008</v>
      </c>
      <c r="D193" s="26">
        <v>57.955002</v>
      </c>
      <c r="E193" s="26">
        <v>32.758755000000001</v>
      </c>
    </row>
    <row r="194" spans="1:5" x14ac:dyDescent="0.35">
      <c r="A194" s="2">
        <v>41351</v>
      </c>
      <c r="B194" s="26">
        <v>178</v>
      </c>
      <c r="C194" s="26">
        <v>9.381418</v>
      </c>
      <c r="D194" s="26">
        <v>56.564999</v>
      </c>
      <c r="E194" s="26">
        <v>32.250934999999998</v>
      </c>
    </row>
    <row r="195" spans="1:5" x14ac:dyDescent="0.35">
      <c r="A195" s="2">
        <v>41344</v>
      </c>
      <c r="B195" s="26">
        <v>176.779999</v>
      </c>
      <c r="C195" s="26">
        <v>9.2855910000000002</v>
      </c>
      <c r="D195" s="26">
        <v>56.200001</v>
      </c>
      <c r="E195" s="26">
        <v>32.322204999999997</v>
      </c>
    </row>
    <row r="196" spans="1:5" x14ac:dyDescent="0.35">
      <c r="A196" s="2">
        <v>41337</v>
      </c>
      <c r="B196" s="26">
        <v>172.38000500000001</v>
      </c>
      <c r="C196" s="26">
        <v>8.777711</v>
      </c>
      <c r="D196" s="26">
        <v>55.68</v>
      </c>
      <c r="E196" s="26">
        <v>32.830024999999999</v>
      </c>
    </row>
    <row r="197" spans="1:5" x14ac:dyDescent="0.35">
      <c r="A197" s="2">
        <v>41330</v>
      </c>
      <c r="B197" s="26">
        <v>168.699997</v>
      </c>
      <c r="C197" s="26">
        <v>8.3752390000000005</v>
      </c>
      <c r="D197" s="26">
        <v>52.810001</v>
      </c>
      <c r="E197" s="26">
        <v>32.482571</v>
      </c>
    </row>
    <row r="198" spans="1:5" x14ac:dyDescent="0.35">
      <c r="A198" s="2">
        <v>41324</v>
      </c>
      <c r="B198" s="26">
        <v>164.39999399999999</v>
      </c>
      <c r="C198" s="26">
        <v>8.2794129999999999</v>
      </c>
      <c r="D198" s="26">
        <v>50.825001</v>
      </c>
      <c r="E198" s="26">
        <v>32.847842999999997</v>
      </c>
    </row>
    <row r="199" spans="1:5" x14ac:dyDescent="0.35">
      <c r="A199" s="2">
        <v>41316</v>
      </c>
      <c r="B199" s="26">
        <v>168.740005</v>
      </c>
      <c r="C199" s="26">
        <v>7.8577760000000003</v>
      </c>
      <c r="D199" s="26">
        <v>49.384998000000003</v>
      </c>
      <c r="E199" s="26">
        <v>32.720447999999998</v>
      </c>
    </row>
    <row r="200" spans="1:5" x14ac:dyDescent="0.35">
      <c r="A200" s="2">
        <v>41309</v>
      </c>
      <c r="B200" s="26">
        <v>164.44000199999999</v>
      </c>
      <c r="C200" s="26">
        <v>8.1931689999999993</v>
      </c>
      <c r="D200" s="26">
        <v>50.064999</v>
      </c>
      <c r="E200" s="26">
        <v>32.111567999999998</v>
      </c>
    </row>
    <row r="201" spans="1:5" x14ac:dyDescent="0.35">
      <c r="A201" s="2">
        <v>41302</v>
      </c>
      <c r="B201" s="26">
        <v>157.300003</v>
      </c>
      <c r="C201" s="26">
        <v>8.0785129999999992</v>
      </c>
      <c r="D201" s="26">
        <v>50.720001000000003</v>
      </c>
      <c r="E201" s="26">
        <v>30.46143</v>
      </c>
    </row>
    <row r="202" spans="1:5" x14ac:dyDescent="0.35">
      <c r="A202" s="2">
        <v>41296</v>
      </c>
      <c r="B202" s="26">
        <v>146.199997</v>
      </c>
      <c r="C202" s="26">
        <v>7.8308239999999998</v>
      </c>
      <c r="D202" s="26">
        <v>49.880001</v>
      </c>
      <c r="E202" s="26">
        <v>29.384865000000001</v>
      </c>
    </row>
    <row r="203" spans="1:5" x14ac:dyDescent="0.35">
      <c r="A203" s="2">
        <v>41288</v>
      </c>
      <c r="B203" s="26">
        <v>144.279999</v>
      </c>
      <c r="C203" s="26">
        <v>8.2785709999999995</v>
      </c>
      <c r="D203" s="26">
        <v>50.014999000000003</v>
      </c>
      <c r="E203" s="26">
        <v>29.587824000000001</v>
      </c>
    </row>
    <row r="204" spans="1:5" x14ac:dyDescent="0.35">
      <c r="A204" s="2">
        <v>41281</v>
      </c>
      <c r="B204" s="26">
        <v>143.78999300000001</v>
      </c>
      <c r="C204" s="26">
        <v>8.0023009999999992</v>
      </c>
      <c r="D204" s="26">
        <v>48.150002000000001</v>
      </c>
      <c r="E204" s="26">
        <v>29.64077</v>
      </c>
    </row>
    <row r="205" spans="1:5" x14ac:dyDescent="0.35">
      <c r="A205" s="2">
        <v>41274</v>
      </c>
      <c r="B205" s="26">
        <v>145.929993</v>
      </c>
      <c r="C205" s="26">
        <v>7.764138</v>
      </c>
      <c r="D205" s="26">
        <v>41.044998</v>
      </c>
      <c r="E205" s="26">
        <v>29.305447000000001</v>
      </c>
    </row>
    <row r="206" spans="1:5" x14ac:dyDescent="0.35">
      <c r="A206" s="2">
        <v>41267</v>
      </c>
      <c r="B206" s="26">
        <v>146.050003</v>
      </c>
      <c r="C206" s="26">
        <v>7.7165059999999999</v>
      </c>
      <c r="D206" s="26">
        <v>38.865001999999997</v>
      </c>
      <c r="E206" s="26">
        <v>28.334776000000002</v>
      </c>
    </row>
    <row r="207" spans="1:5" x14ac:dyDescent="0.35">
      <c r="A207" s="2">
        <v>41260</v>
      </c>
      <c r="B207" s="26">
        <v>149.91000399999999</v>
      </c>
      <c r="C207" s="26">
        <v>7.764138</v>
      </c>
      <c r="D207" s="26">
        <v>39.849997999999999</v>
      </c>
      <c r="E207" s="26">
        <v>28.758343</v>
      </c>
    </row>
    <row r="208" spans="1:5" x14ac:dyDescent="0.35">
      <c r="A208" s="2">
        <v>41253</v>
      </c>
      <c r="B208" s="26">
        <v>151.25</v>
      </c>
      <c r="C208" s="26">
        <v>7.535501</v>
      </c>
      <c r="D208" s="26">
        <v>39.68</v>
      </c>
      <c r="E208" s="26">
        <v>27.920034000000001</v>
      </c>
    </row>
    <row r="209" spans="1:5" x14ac:dyDescent="0.35">
      <c r="A209" s="2">
        <v>41246</v>
      </c>
      <c r="B209" s="26">
        <v>151.28999300000001</v>
      </c>
      <c r="C209" s="26">
        <v>7.2878100000000003</v>
      </c>
      <c r="D209" s="26">
        <v>39.340000000000003</v>
      </c>
      <c r="E209" s="26">
        <v>27.222918</v>
      </c>
    </row>
    <row r="210" spans="1:5" x14ac:dyDescent="0.35">
      <c r="A210" s="2">
        <v>41239</v>
      </c>
      <c r="B210" s="26">
        <v>149.08999600000001</v>
      </c>
      <c r="C210" s="26">
        <v>8.0689879999999992</v>
      </c>
      <c r="D210" s="26">
        <v>39.294998</v>
      </c>
      <c r="E210" s="26">
        <v>26.843471999999998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0"/>
  <sheetViews>
    <sheetView topLeftCell="A189" workbookViewId="0">
      <selection activeCell="H209" sqref="H209"/>
    </sheetView>
  </sheetViews>
  <sheetFormatPr defaultRowHeight="14.5" x14ac:dyDescent="0.35"/>
  <cols>
    <col min="1" max="5" width="8.7265625" style="1"/>
    <col min="6" max="6" width="10.453125" style="1" bestFit="1" customWidth="1"/>
    <col min="7" max="10" width="10" style="1" bestFit="1" customWidth="1"/>
    <col min="11" max="16384" width="8.7265625" style="1"/>
  </cols>
  <sheetData>
    <row r="1" spans="1:10" x14ac:dyDescent="0.35">
      <c r="A1" s="1" t="s">
        <v>4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92</v>
      </c>
      <c r="H1" s="1" t="s">
        <v>93</v>
      </c>
      <c r="I1" s="1" t="s">
        <v>94</v>
      </c>
      <c r="J1" s="1" t="s">
        <v>95</v>
      </c>
    </row>
    <row r="2" spans="1:10" x14ac:dyDescent="0.35">
      <c r="A2" s="50">
        <v>20161125</v>
      </c>
      <c r="B2" s="50">
        <v>1.64</v>
      </c>
      <c r="C2" s="50">
        <v>0.81</v>
      </c>
      <c r="D2" s="50">
        <v>0.62</v>
      </c>
      <c r="E2" s="50">
        <v>4.0000000000000001E-3</v>
      </c>
      <c r="F2" s="51">
        <v>42695</v>
      </c>
      <c r="G2" s="53">
        <f>100*LN('Stock Price'!B2/'Stock Price'!B3)-$E2</f>
        <v>-3.7974435148499741</v>
      </c>
      <c r="H2" s="53">
        <f>100*LN('Stock Price'!C2/'Stock Price'!C3)-$E2</f>
        <v>-0.65974005461591634</v>
      </c>
      <c r="I2" s="53">
        <f>100*LN('Stock Price'!D2/'Stock Price'!D3)-$E2</f>
        <v>-0.75288471110767818</v>
      </c>
      <c r="J2" s="53">
        <f>100*LN('Stock Price'!E2/'Stock Price'!E3)-$E2</f>
        <v>2.307625284069041</v>
      </c>
    </row>
    <row r="3" spans="1:10" x14ac:dyDescent="0.35">
      <c r="A3" s="50">
        <v>20161118</v>
      </c>
      <c r="B3" s="50">
        <v>1.29</v>
      </c>
      <c r="C3" s="50">
        <v>1.01</v>
      </c>
      <c r="D3" s="50">
        <v>1.38</v>
      </c>
      <c r="E3" s="50">
        <v>4.0000000000000001E-3</v>
      </c>
      <c r="F3" s="51">
        <v>42688</v>
      </c>
      <c r="G3" s="53">
        <f>100*LN('Stock Price'!B3/'Stock Price'!B4)-$E3</f>
        <v>-0.68934111625608618</v>
      </c>
      <c r="H3" s="53">
        <f>100*LN('Stock Price'!C3/'Stock Price'!C4)-$E3</f>
        <v>11.041699556431062</v>
      </c>
      <c r="I3" s="53">
        <f>100*LN('Stock Price'!D3/'Stock Price'!D4)-$E3</f>
        <v>2.0837272397177018</v>
      </c>
      <c r="J3" s="53">
        <f>100*LN('Stock Price'!E3/'Stock Price'!E4)-$E3</f>
        <v>2.7711108005531475</v>
      </c>
    </row>
    <row r="4" spans="1:10" x14ac:dyDescent="0.35">
      <c r="A4" s="50">
        <v>20161111</v>
      </c>
      <c r="B4" s="50">
        <v>4.67</v>
      </c>
      <c r="C4" s="50">
        <v>6.02</v>
      </c>
      <c r="D4" s="50">
        <v>2.5299999999999998</v>
      </c>
      <c r="E4" s="50">
        <v>4.0000000000000001E-3</v>
      </c>
      <c r="F4" s="51">
        <v>42681</v>
      </c>
      <c r="G4" s="53">
        <f>100*LN('Stock Price'!B4/'Stock Price'!B5)-$E4</f>
        <v>14.169767885250295</v>
      </c>
      <c r="H4" s="53">
        <f>100*LN('Stock Price'!C4/'Stock Price'!C5)-$E4</f>
        <v>12.823677603670241</v>
      </c>
      <c r="I4" s="53">
        <f>100*LN('Stock Price'!D4/'Stock Price'!D5)-$E4</f>
        <v>14.386609485822531</v>
      </c>
      <c r="J4" s="53">
        <f>100*LN('Stock Price'!E4/'Stock Price'!E5)-$E4</f>
        <v>4.7468304132547088</v>
      </c>
    </row>
    <row r="5" spans="1:10" x14ac:dyDescent="0.35">
      <c r="A5" s="50">
        <v>20161104</v>
      </c>
      <c r="B5" s="50">
        <v>-1.89</v>
      </c>
      <c r="C5" s="50">
        <v>-0.51</v>
      </c>
      <c r="D5" s="50">
        <v>1.1599999999999999</v>
      </c>
      <c r="E5" s="50">
        <v>4.0000000000000001E-3</v>
      </c>
      <c r="F5" s="51">
        <v>42674</v>
      </c>
      <c r="G5" s="53">
        <f>100*LN('Stock Price'!B5/'Stock Price'!B6)-$E5</f>
        <v>-2.3728375132393431</v>
      </c>
      <c r="H5" s="53">
        <f>100*LN('Stock Price'!C5/'Stock Price'!C6)-$E5</f>
        <v>-3.662938730685577</v>
      </c>
      <c r="I5" s="53">
        <f>100*LN('Stock Price'!D5/'Stock Price'!D6)-$E5</f>
        <v>-0.44771635559776579</v>
      </c>
      <c r="J5" s="53">
        <f>100*LN('Stock Price'!E5/'Stock Price'!E6)-$E5</f>
        <v>-0.13675624755718868</v>
      </c>
    </row>
    <row r="6" spans="1:10" x14ac:dyDescent="0.35">
      <c r="A6" s="50">
        <v>20161028</v>
      </c>
      <c r="B6" s="50">
        <v>-0.77</v>
      </c>
      <c r="C6" s="50">
        <v>-2.35</v>
      </c>
      <c r="D6" s="50">
        <v>1.43</v>
      </c>
      <c r="E6" s="50">
        <v>4.0000000000000001E-3</v>
      </c>
      <c r="F6" s="51">
        <v>42667</v>
      </c>
      <c r="G6" s="53">
        <f>100*LN('Stock Price'!B6/'Stock Price'!B7)-$E6</f>
        <v>-2.4453892184241868</v>
      </c>
      <c r="H6" s="53">
        <f>100*LN('Stock Price'!C6/'Stock Price'!C7)-$E6</f>
        <v>3.2417166105255766</v>
      </c>
      <c r="I6" s="53">
        <f>100*LN('Stock Price'!D6/'Stock Price'!D7)-$E6</f>
        <v>4.9178531161906447</v>
      </c>
      <c r="J6" s="53">
        <f>100*LN('Stock Price'!E6/'Stock Price'!E7)-$E6</f>
        <v>1.3315792835087028</v>
      </c>
    </row>
    <row r="7" spans="1:10" x14ac:dyDescent="0.35">
      <c r="A7" s="50">
        <v>20161021</v>
      </c>
      <c r="B7" s="50">
        <v>0.42</v>
      </c>
      <c r="C7" s="50">
        <v>-0.3</v>
      </c>
      <c r="D7" s="50">
        <v>0.62</v>
      </c>
      <c r="E7" s="50">
        <v>4.0000000000000001E-3</v>
      </c>
      <c r="F7" s="51">
        <v>42660</v>
      </c>
      <c r="G7" s="53">
        <f>100*LN('Stock Price'!B7/'Stock Price'!B8)-$E7</f>
        <v>4.7619721200791568E-2</v>
      </c>
      <c r="H7" s="53">
        <f>100*LN('Stock Price'!C7/'Stock Price'!C8)-$E7</f>
        <v>0.40922212015999437</v>
      </c>
      <c r="I7" s="53">
        <f>100*LN('Stock Price'!D7/'Stock Price'!D8)-$E7</f>
        <v>0.41138380145102393</v>
      </c>
      <c r="J7" s="53">
        <f>100*LN('Stock Price'!E7/'Stock Price'!E8)-$E7</f>
        <v>0.83988420074310266</v>
      </c>
    </row>
    <row r="8" spans="1:10" x14ac:dyDescent="0.35">
      <c r="A8" s="50">
        <v>20161014</v>
      </c>
      <c r="B8" s="50">
        <v>-1.1200000000000001</v>
      </c>
      <c r="C8" s="50">
        <v>-1.21</v>
      </c>
      <c r="D8" s="50">
        <v>0.61</v>
      </c>
      <c r="E8" s="50">
        <v>4.0000000000000001E-3</v>
      </c>
      <c r="F8" s="51">
        <v>42653</v>
      </c>
      <c r="G8" s="53">
        <f>100*LN('Stock Price'!B8/'Stock Price'!B9)-$E8</f>
        <v>-5.0680744862483689</v>
      </c>
      <c r="H8" s="53">
        <f>100*LN('Stock Price'!C8/'Stock Price'!C9)-$E8</f>
        <v>-0.66433908033536848</v>
      </c>
      <c r="I8" s="53">
        <f>100*LN('Stock Price'!D8/'Stock Price'!D9)-$E8</f>
        <v>-5.5047201471724785</v>
      </c>
      <c r="J8" s="53">
        <f>100*LN('Stock Price'!E8/'Stock Price'!E9)-$E8</f>
        <v>-5.0604222781883195</v>
      </c>
    </row>
    <row r="9" spans="1:10" x14ac:dyDescent="0.35">
      <c r="A9" s="50">
        <v>20161007</v>
      </c>
      <c r="B9" s="50">
        <v>-0.56999999999999995</v>
      </c>
      <c r="C9" s="50">
        <v>-0.51</v>
      </c>
      <c r="D9" s="50">
        <v>1.25</v>
      </c>
      <c r="E9" s="50">
        <v>4.0000000000000001E-3</v>
      </c>
      <c r="F9" s="51">
        <v>42646</v>
      </c>
      <c r="G9" s="53">
        <f>100*LN('Stock Price'!B9/'Stock Price'!B10)-$E9</f>
        <v>-2.409470824349274</v>
      </c>
      <c r="H9" s="53">
        <f>100*LN('Stock Price'!C9/'Stock Price'!C10)-$E9</f>
        <v>-4.5123421220634785E-2</v>
      </c>
      <c r="I9" s="53">
        <f>100*LN('Stock Price'!D9/'Stock Price'!D10)-$E9</f>
        <v>-0.44503523282162427</v>
      </c>
      <c r="J9" s="53">
        <f>100*LN('Stock Price'!E9/'Stock Price'!E10)-$E9</f>
        <v>-0.13281787160913619</v>
      </c>
    </row>
    <row r="10" spans="1:10" x14ac:dyDescent="0.35">
      <c r="A10" s="50">
        <v>20160930</v>
      </c>
      <c r="B10" s="50">
        <v>0.21</v>
      </c>
      <c r="C10" s="50">
        <v>-0.18</v>
      </c>
      <c r="D10" s="50">
        <v>1.24</v>
      </c>
      <c r="E10" s="50">
        <v>5.0000000000000001E-3</v>
      </c>
      <c r="F10" s="51">
        <v>42639</v>
      </c>
      <c r="G10" s="53">
        <f>100*LN('Stock Price'!B10/'Stock Price'!B11)-$E10</f>
        <v>0.1388634573248719</v>
      </c>
      <c r="H10" s="53">
        <f>100*LN('Stock Price'!C10/'Stock Price'!C11)-$E10</f>
        <v>-2.602554028213059</v>
      </c>
      <c r="I10" s="53">
        <f>100*LN('Stock Price'!D10/'Stock Price'!D11)-$E10</f>
        <v>-4.5860973452367553</v>
      </c>
      <c r="J10" s="53">
        <f>100*LN('Stock Price'!E10/'Stock Price'!E11)-$E10</f>
        <v>2.4385185158111331</v>
      </c>
    </row>
    <row r="11" spans="1:10" x14ac:dyDescent="0.35">
      <c r="A11" s="50">
        <v>20160923</v>
      </c>
      <c r="B11" s="50">
        <v>1.26</v>
      </c>
      <c r="C11" s="50">
        <v>1.1000000000000001</v>
      </c>
      <c r="D11" s="50">
        <v>-0.25</v>
      </c>
      <c r="E11" s="50">
        <v>5.0000000000000001E-3</v>
      </c>
      <c r="F11" s="51">
        <v>42632</v>
      </c>
      <c r="G11" s="53">
        <f>100*LN('Stock Price'!B11/'Stock Price'!B12)-$E11</f>
        <v>2.6106434651847077</v>
      </c>
      <c r="H11" s="53">
        <f>100*LN('Stock Price'!C11/'Stock Price'!C12)-$E11</f>
        <v>0.35622635068692859</v>
      </c>
      <c r="I11" s="53">
        <f>100*LN('Stock Price'!D11/'Stock Price'!D12)-$E11</f>
        <v>0.81162975818996619</v>
      </c>
      <c r="J11" s="53">
        <f>100*LN('Stock Price'!E11/'Stock Price'!E12)-$E11</f>
        <v>0.54067579556066481</v>
      </c>
    </row>
    <row r="12" spans="1:10" x14ac:dyDescent="0.35">
      <c r="A12" s="50">
        <v>20160916</v>
      </c>
      <c r="B12" s="50">
        <v>0.56000000000000005</v>
      </c>
      <c r="C12" s="50">
        <v>0.54</v>
      </c>
      <c r="D12" s="50">
        <v>-2.57</v>
      </c>
      <c r="E12" s="50">
        <v>5.0000000000000001E-3</v>
      </c>
      <c r="F12" s="51">
        <v>42625</v>
      </c>
      <c r="G12" s="53">
        <f>100*LN('Stock Price'!B12/'Stock Price'!B13)-$E12</f>
        <v>2.7956704801876446</v>
      </c>
      <c r="H12" s="53">
        <f>100*LN('Stock Price'!C12/'Stock Price'!C13)-$E12</f>
        <v>-0.84584330812210173</v>
      </c>
      <c r="I12" s="53">
        <f>100*LN('Stock Price'!D12/'Stock Price'!D13)-$E12</f>
        <v>3.8168819426909564</v>
      </c>
      <c r="J12" s="53">
        <f>100*LN('Stock Price'!E12/'Stock Price'!E13)-$E12</f>
        <v>3.0079385362896867</v>
      </c>
    </row>
    <row r="13" spans="1:10" x14ac:dyDescent="0.35">
      <c r="A13" s="50">
        <v>20160909</v>
      </c>
      <c r="B13" s="50">
        <v>-2.2999999999999998</v>
      </c>
      <c r="C13" s="50">
        <v>0.09</v>
      </c>
      <c r="D13" s="50">
        <v>0.39</v>
      </c>
      <c r="E13" s="50">
        <v>5.0000000000000001E-3</v>
      </c>
      <c r="F13" s="51">
        <v>42619</v>
      </c>
      <c r="G13" s="53">
        <f>100*LN('Stock Price'!B13/'Stock Price'!B14)-$E13</f>
        <v>-5.7439132086246687</v>
      </c>
      <c r="H13" s="53">
        <f>100*LN('Stock Price'!C13/'Stock Price'!C14)-$E13</f>
        <v>0.91629513246219629</v>
      </c>
      <c r="I13" s="53">
        <f>100*LN('Stock Price'!D13/'Stock Price'!D14)-$E13</f>
        <v>-0.97661843130316628</v>
      </c>
      <c r="J13" s="53">
        <f>100*LN('Stock Price'!E13/'Stock Price'!E14)-$E13</f>
        <v>-6.8883344104114697</v>
      </c>
    </row>
    <row r="14" spans="1:10" x14ac:dyDescent="0.35">
      <c r="A14" s="50">
        <v>20160902</v>
      </c>
      <c r="B14" s="50">
        <v>0.7</v>
      </c>
      <c r="C14" s="50">
        <v>0.15</v>
      </c>
      <c r="D14" s="50">
        <v>0.62</v>
      </c>
      <c r="E14" s="50">
        <v>5.0000000000000001E-3</v>
      </c>
      <c r="F14" s="51">
        <v>42611</v>
      </c>
      <c r="G14" s="53">
        <f>100*LN('Stock Price'!B14/'Stock Price'!B15)-$E14</f>
        <v>1.7384766514485988</v>
      </c>
      <c r="H14" s="53">
        <f>100*LN('Stock Price'!C14/'Stock Price'!C15)-$E14</f>
        <v>2.9351938912676694</v>
      </c>
      <c r="I14" s="53">
        <f>100*LN('Stock Price'!D14/'Stock Price'!D15)-$E14</f>
        <v>-3.0853284890438455</v>
      </c>
      <c r="J14" s="53">
        <f>100*LN('Stock Price'!E14/'Stock Price'!E15)-$E14</f>
        <v>1.7814750760751712</v>
      </c>
    </row>
    <row r="15" spans="1:10" x14ac:dyDescent="0.35">
      <c r="A15" s="50">
        <v>20160826</v>
      </c>
      <c r="B15" s="50">
        <v>-0.53</v>
      </c>
      <c r="C15" s="50">
        <v>0.65</v>
      </c>
      <c r="D15" s="50">
        <v>0.36</v>
      </c>
      <c r="E15" s="50">
        <v>5.0000000000000001E-3</v>
      </c>
      <c r="F15" s="51">
        <v>42604</v>
      </c>
      <c r="G15" s="53">
        <f>100*LN('Stock Price'!B15/'Stock Price'!B16)-$E15</f>
        <v>-2.7700597842988968</v>
      </c>
      <c r="H15" s="53">
        <f>100*LN('Stock Price'!C15/'Stock Price'!C16)-$E15</f>
        <v>1.078332184112001</v>
      </c>
      <c r="I15" s="53">
        <f>100*LN('Stock Price'!D15/'Stock Price'!D16)-$E15</f>
        <v>-3.0557031324604784</v>
      </c>
      <c r="J15" s="53">
        <f>100*LN('Stock Price'!E15/'Stock Price'!E16)-$E15</f>
        <v>0.45073272146392473</v>
      </c>
    </row>
    <row r="16" spans="1:10" x14ac:dyDescent="0.35">
      <c r="A16" s="50">
        <v>20160819</v>
      </c>
      <c r="B16" s="50">
        <v>0.15</v>
      </c>
      <c r="C16" s="50">
        <v>0.39</v>
      </c>
      <c r="D16" s="50">
        <v>1.47</v>
      </c>
      <c r="E16" s="50">
        <v>5.0000000000000001E-3</v>
      </c>
      <c r="F16" s="51">
        <v>42597</v>
      </c>
      <c r="G16" s="53">
        <f>100*LN('Stock Price'!B16/'Stock Price'!B17)-$E16</f>
        <v>0.90503275680147044</v>
      </c>
      <c r="H16" s="53">
        <f>100*LN('Stock Price'!C16/'Stock Price'!C17)-$E16</f>
        <v>-0.54812683303244225</v>
      </c>
      <c r="I16" s="53">
        <f>100*LN('Stock Price'!D16/'Stock Price'!D17)-$E16</f>
        <v>-1.0956736215011167</v>
      </c>
      <c r="J16" s="53">
        <f>100*LN('Stock Price'!E16/'Stock Price'!E17)-$E16</f>
        <v>1.8845166923143928</v>
      </c>
    </row>
    <row r="17" spans="1:10" x14ac:dyDescent="0.35">
      <c r="A17" s="50">
        <v>20160812</v>
      </c>
      <c r="B17" s="50">
        <v>0.18</v>
      </c>
      <c r="C17" s="50">
        <v>-0.31</v>
      </c>
      <c r="D17" s="50">
        <v>-0.09</v>
      </c>
      <c r="E17" s="50">
        <v>5.0000000000000001E-3</v>
      </c>
      <c r="F17" s="51">
        <v>42590</v>
      </c>
      <c r="G17" s="53">
        <f>100*LN('Stock Price'!B17/'Stock Price'!B18)-$E17</f>
        <v>-0.6463703593894754</v>
      </c>
      <c r="H17" s="53">
        <f>100*LN('Stock Price'!C17/'Stock Price'!C18)-$E17</f>
        <v>-2.1466049538217136</v>
      </c>
      <c r="I17" s="53">
        <f>100*LN('Stock Price'!D17/'Stock Price'!D18)-$E17</f>
        <v>-1.874703267453828</v>
      </c>
      <c r="J17" s="53">
        <f>100*LN('Stock Price'!E17/'Stock Price'!E18)-$E17</f>
        <v>6.7456581097296597</v>
      </c>
    </row>
    <row r="18" spans="1:10" x14ac:dyDescent="0.35">
      <c r="A18" s="50">
        <v>20160805</v>
      </c>
      <c r="B18" s="50">
        <v>0.56000000000000005</v>
      </c>
      <c r="C18" s="50">
        <v>0.5</v>
      </c>
      <c r="D18" s="50">
        <v>0.68</v>
      </c>
      <c r="E18" s="50">
        <v>5.0000000000000001E-3</v>
      </c>
      <c r="F18" s="51">
        <v>42583</v>
      </c>
      <c r="G18" s="53">
        <f>100*LN('Stock Price'!B18/'Stock Price'!B19)-$E18</f>
        <v>8.5926104421858351</v>
      </c>
      <c r="H18" s="53">
        <f>100*LN('Stock Price'!C18/'Stock Price'!C19)-$E18</f>
        <v>1.2647263476868214</v>
      </c>
      <c r="I18" s="53">
        <f>100*LN('Stock Price'!D18/'Stock Price'!D19)-$E18</f>
        <v>2.9286347455392749</v>
      </c>
      <c r="J18" s="53">
        <f>100*LN('Stock Price'!E18/'Stock Price'!E19)-$E18</f>
        <v>1.6349672995357181</v>
      </c>
    </row>
    <row r="19" spans="1:10" x14ac:dyDescent="0.35">
      <c r="A19" s="50">
        <v>20160729</v>
      </c>
      <c r="B19" s="50">
        <v>7.0000000000000007E-2</v>
      </c>
      <c r="C19" s="50">
        <v>0.77</v>
      </c>
      <c r="D19" s="50">
        <v>-0.31</v>
      </c>
      <c r="E19" s="50">
        <v>5.0000000000000001E-3</v>
      </c>
      <c r="F19" s="51">
        <v>42576</v>
      </c>
      <c r="G19" s="53">
        <f>100*LN('Stock Price'!B19/'Stock Price'!B20)-$E19</f>
        <v>0.73931945293466739</v>
      </c>
      <c r="H19" s="53">
        <f>100*LN('Stock Price'!C19/'Stock Price'!C20)-$E19</f>
        <v>0.94758632060816905</v>
      </c>
      <c r="I19" s="53">
        <f>100*LN('Stock Price'!D19/'Stock Price'!D20)-$E19</f>
        <v>4.2467031510720616</v>
      </c>
      <c r="J19" s="53">
        <f>100*LN('Stock Price'!E19/'Stock Price'!E20)-$E19</f>
        <v>2.6725194056536328</v>
      </c>
    </row>
    <row r="20" spans="1:10" x14ac:dyDescent="0.35">
      <c r="A20" s="50">
        <v>20160722</v>
      </c>
      <c r="B20" s="50">
        <v>0.6</v>
      </c>
      <c r="C20" s="50">
        <v>0.03</v>
      </c>
      <c r="D20" s="50">
        <v>-1.1100000000000001</v>
      </c>
      <c r="E20" s="50">
        <v>5.0000000000000001E-3</v>
      </c>
      <c r="F20" s="51">
        <v>42569</v>
      </c>
      <c r="G20" s="53">
        <f>100*LN('Stock Price'!B20/'Stock Price'!B21)-$E20</f>
        <v>10.031152996052933</v>
      </c>
      <c r="H20" s="53">
        <f>100*LN('Stock Price'!C20/'Stock Price'!C21)-$E20</f>
        <v>2.2252632474448317</v>
      </c>
      <c r="I20" s="53">
        <f>100*LN('Stock Price'!D20/'Stock Price'!D21)-$E20</f>
        <v>4.4355252219882226</v>
      </c>
      <c r="J20" s="53">
        <f>100*LN('Stock Price'!E20/'Stock Price'!E21)-$E20</f>
        <v>0.7361468078506691</v>
      </c>
    </row>
    <row r="21" spans="1:10" x14ac:dyDescent="0.35">
      <c r="A21" s="50">
        <v>20160715</v>
      </c>
      <c r="B21" s="50">
        <v>1.6</v>
      </c>
      <c r="C21" s="50">
        <v>0.59</v>
      </c>
      <c r="D21" s="50">
        <v>2.2999999999999998</v>
      </c>
      <c r="E21" s="50">
        <v>5.0000000000000001E-3</v>
      </c>
      <c r="F21" s="51">
        <v>42562</v>
      </c>
      <c r="G21" s="53">
        <f>100*LN('Stock Price'!B21/'Stock Price'!B22)-$E21</f>
        <v>3.5137309412396318</v>
      </c>
      <c r="H21" s="53">
        <f>100*LN('Stock Price'!C21/'Stock Price'!C22)-$E21</f>
        <v>3.502610608861179</v>
      </c>
      <c r="I21" s="53">
        <f>100*LN('Stock Price'!D21/'Stock Price'!D22)-$E21</f>
        <v>-2.1024417460423619</v>
      </c>
      <c r="J21" s="53">
        <f>100*LN('Stock Price'!E21/'Stock Price'!E22)-$E21</f>
        <v>3.5925110451516309</v>
      </c>
    </row>
    <row r="22" spans="1:10" x14ac:dyDescent="0.35">
      <c r="A22" s="50">
        <v>20160708</v>
      </c>
      <c r="B22" s="50">
        <v>1.38</v>
      </c>
      <c r="C22" s="50">
        <v>0.82</v>
      </c>
      <c r="D22" s="50">
        <v>-1.4</v>
      </c>
      <c r="E22" s="50">
        <v>5.0000000000000001E-3</v>
      </c>
      <c r="F22" s="51">
        <v>42556</v>
      </c>
      <c r="G22" s="53">
        <f>100*LN('Stock Price'!B22/'Stock Price'!B23)-$E22</f>
        <v>2.50943861274355</v>
      </c>
      <c r="H22" s="53">
        <f>100*LN('Stock Price'!C22/'Stock Price'!C23)-$E22</f>
        <v>1.3706619279785686</v>
      </c>
      <c r="I22" s="53">
        <f>100*LN('Stock Price'!D22/'Stock Price'!D23)-$E22</f>
        <v>4.2050244180538412</v>
      </c>
      <c r="J22" s="53">
        <f>100*LN('Stock Price'!E22/'Stock Price'!E23)-$E22</f>
        <v>2.8302739628841369</v>
      </c>
    </row>
    <row r="23" spans="1:10" x14ac:dyDescent="0.35">
      <c r="A23" s="50">
        <v>20160701</v>
      </c>
      <c r="B23" s="50">
        <v>3.14</v>
      </c>
      <c r="C23" s="50">
        <v>-0.66</v>
      </c>
      <c r="D23" s="50">
        <v>-0.7</v>
      </c>
      <c r="E23" s="50">
        <v>5.0000000000000001E-3</v>
      </c>
      <c r="F23" s="51">
        <v>42548</v>
      </c>
      <c r="G23" s="53">
        <f>100*LN('Stock Price'!B23/'Stock Price'!B24)-$E23</f>
        <v>6.7643716909117186</v>
      </c>
      <c r="H23" s="53">
        <f>100*LN('Stock Price'!C23/'Stock Price'!C24)-$E23</f>
        <v>-0.49530311292298823</v>
      </c>
      <c r="I23" s="53">
        <f>100*LN('Stock Price'!D23/'Stock Price'!D24)-$E23</f>
        <v>4.4731288295569422</v>
      </c>
      <c r="J23" s="53">
        <f>100*LN('Stock Price'!E23/'Stock Price'!E24)-$E23</f>
        <v>-0.10412316301151832</v>
      </c>
    </row>
    <row r="24" spans="1:10" x14ac:dyDescent="0.35">
      <c r="A24" s="50">
        <v>20160624</v>
      </c>
      <c r="B24" s="50">
        <v>-1.6</v>
      </c>
      <c r="C24" s="50">
        <v>0.3</v>
      </c>
      <c r="D24" s="50">
        <v>-0.23</v>
      </c>
      <c r="E24" s="50">
        <v>5.0000000000000001E-3</v>
      </c>
      <c r="F24" s="51">
        <v>42541</v>
      </c>
      <c r="G24" s="53">
        <f>100*LN('Stock Price'!B24/'Stock Price'!B25)-$E24</f>
        <v>-3.9393313503046441</v>
      </c>
      <c r="H24" s="53">
        <f>100*LN('Stock Price'!C24/'Stock Price'!C25)-$E24</f>
        <v>-2.3342642268066323</v>
      </c>
      <c r="I24" s="53">
        <f>100*LN('Stock Price'!D24/'Stock Price'!D25)-$E24</f>
        <v>-2.517563093801396</v>
      </c>
      <c r="J24" s="53">
        <f>100*LN('Stock Price'!E24/'Stock Price'!E25)-$E24</f>
        <v>-1.4605703937826398</v>
      </c>
    </row>
    <row r="25" spans="1:10" x14ac:dyDescent="0.35">
      <c r="A25" s="50">
        <v>20160617</v>
      </c>
      <c r="B25" s="50">
        <v>-1.2</v>
      </c>
      <c r="C25" s="50">
        <v>-0.3</v>
      </c>
      <c r="D25" s="50">
        <v>-0.14000000000000001</v>
      </c>
      <c r="E25" s="50">
        <v>5.0000000000000001E-3</v>
      </c>
      <c r="F25" s="51">
        <v>42534</v>
      </c>
      <c r="G25" s="53">
        <f>100*LN('Stock Price'!B25/'Stock Price'!B26)-$E25</f>
        <v>-3.2757204994099887</v>
      </c>
      <c r="H25" s="53">
        <f>100*LN('Stock Price'!C25/'Stock Price'!C26)-$E25</f>
        <v>-3.630909215034372</v>
      </c>
      <c r="I25" s="53">
        <f>100*LN('Stock Price'!D25/'Stock Price'!D26)-$E25</f>
        <v>-4.1414746141413197</v>
      </c>
      <c r="J25" s="53">
        <f>100*LN('Stock Price'!E25/'Stock Price'!E26)-$E25</f>
        <v>-2.0155119803018486</v>
      </c>
    </row>
    <row r="26" spans="1:10" x14ac:dyDescent="0.35">
      <c r="A26" s="50">
        <v>20160610</v>
      </c>
      <c r="B26" s="50">
        <v>-0.25</v>
      </c>
      <c r="C26" s="50">
        <v>0.54</v>
      </c>
      <c r="D26" s="50">
        <v>-0.08</v>
      </c>
      <c r="E26" s="50">
        <v>5.0000000000000001E-3</v>
      </c>
      <c r="F26" s="51">
        <v>42527</v>
      </c>
      <c r="G26" s="53">
        <f>100*LN('Stock Price'!B26/'Stock Price'!B27)-$E26</f>
        <v>-16.486387804135891</v>
      </c>
      <c r="H26" s="53">
        <f>100*LN('Stock Price'!C26/'Stock Price'!C27)-$E26</f>
        <v>0.83640269367076325</v>
      </c>
      <c r="I26" s="53">
        <f>100*LN('Stock Price'!D26/'Stock Price'!D27)-$E26</f>
        <v>-4.4522810710726572</v>
      </c>
      <c r="J26" s="53">
        <f>100*LN('Stock Price'!E26/'Stock Price'!E27)-$E26</f>
        <v>0.84067305279944859</v>
      </c>
    </row>
    <row r="27" spans="1:10" x14ac:dyDescent="0.35">
      <c r="A27" s="50">
        <v>20160603</v>
      </c>
      <c r="B27" s="50">
        <v>0.16</v>
      </c>
      <c r="C27" s="50">
        <v>1.32</v>
      </c>
      <c r="D27" s="50">
        <v>-1.29</v>
      </c>
      <c r="E27" s="50">
        <v>5.0000000000000001E-3</v>
      </c>
      <c r="F27" s="51">
        <v>42521</v>
      </c>
      <c r="G27" s="53">
        <f>100*LN('Stock Price'!B27/'Stock Price'!B28)-$E27</f>
        <v>2.5919145445397032</v>
      </c>
      <c r="H27" s="53">
        <f>100*LN('Stock Price'!C27/'Stock Price'!C28)-$E27</f>
        <v>-0.80449754007008034</v>
      </c>
      <c r="I27" s="53">
        <f>100*LN('Stock Price'!D27/'Stock Price'!D28)-$E27</f>
        <v>1.0790177374687671</v>
      </c>
      <c r="J27" s="53">
        <f>100*LN('Stock Price'!E27/'Stock Price'!E28)-$E27</f>
        <v>1.5903620906538001</v>
      </c>
    </row>
    <row r="28" spans="1:10" x14ac:dyDescent="0.35">
      <c r="A28" s="50">
        <v>20160527</v>
      </c>
      <c r="B28" s="50">
        <v>2.4300000000000002</v>
      </c>
      <c r="C28" s="50">
        <v>1</v>
      </c>
      <c r="D28" s="50">
        <v>-0.86</v>
      </c>
      <c r="E28" s="50">
        <v>3.0000000000000001E-3</v>
      </c>
      <c r="F28" s="51">
        <v>42513</v>
      </c>
      <c r="G28" s="53">
        <f>100*LN('Stock Price'!B28/'Stock Price'!B29)-$E28</f>
        <v>7.0014195043147485</v>
      </c>
      <c r="H28" s="53">
        <f>100*LN('Stock Price'!C28/'Stock Price'!C29)-$E28</f>
        <v>4.1910289444762761</v>
      </c>
      <c r="I28" s="53">
        <f>100*LN('Stock Price'!D28/'Stock Price'!D29)-$E28</f>
        <v>4.7792869770510169</v>
      </c>
      <c r="J28" s="53">
        <f>100*LN('Stock Price'!E28/'Stock Price'!E29)-$E28</f>
        <v>4.3459471305003339</v>
      </c>
    </row>
    <row r="29" spans="1:10" x14ac:dyDescent="0.35">
      <c r="A29" s="50">
        <v>20160520</v>
      </c>
      <c r="B29" s="50">
        <v>0.54</v>
      </c>
      <c r="C29" s="50">
        <v>0.17</v>
      </c>
      <c r="D29" s="50">
        <v>0.63</v>
      </c>
      <c r="E29" s="50">
        <v>3.0000000000000001E-3</v>
      </c>
      <c r="F29" s="51">
        <v>42506</v>
      </c>
      <c r="G29" s="53">
        <f>100*LN('Stock Price'!B29/'Stock Price'!B30)-$E29</f>
        <v>0.61714122944052674</v>
      </c>
      <c r="H29" s="53">
        <f>100*LN('Stock Price'!C29/'Stock Price'!C30)-$E29</f>
        <v>3.2395641411168477</v>
      </c>
      <c r="I29" s="53">
        <f>100*LN('Stock Price'!D29/'Stock Price'!D30)-$E29</f>
        <v>1.2865674994553009</v>
      </c>
      <c r="J29" s="53">
        <f>100*LN('Stock Price'!E29/'Stock Price'!E30)-$E29</f>
        <v>4.204074830886924</v>
      </c>
    </row>
    <row r="30" spans="1:10" x14ac:dyDescent="0.35">
      <c r="A30" s="50">
        <v>20160513</v>
      </c>
      <c r="B30" s="50">
        <v>-0.52</v>
      </c>
      <c r="C30" s="50">
        <v>-0.57999999999999996</v>
      </c>
      <c r="D30" s="50">
        <v>-0.76</v>
      </c>
      <c r="E30" s="50">
        <v>3.0000000000000001E-3</v>
      </c>
      <c r="F30" s="51">
        <v>42499</v>
      </c>
      <c r="G30" s="53">
        <f>100*LN('Stock Price'!B30/'Stock Price'!B31)-$E30</f>
        <v>-0.60416840671457794</v>
      </c>
      <c r="H30" s="53">
        <f>100*LN('Stock Price'!C30/'Stock Price'!C31)-$E30</f>
        <v>1.6295977339403764</v>
      </c>
      <c r="I30" s="53">
        <f>100*LN('Stock Price'!D30/'Stock Price'!D31)-$E30</f>
        <v>-9.2811889878870846E-2</v>
      </c>
      <c r="J30" s="53">
        <f>100*LN('Stock Price'!E30/'Stock Price'!E31)-$E30</f>
        <v>-1.6642773083572455</v>
      </c>
    </row>
    <row r="31" spans="1:10" x14ac:dyDescent="0.35">
      <c r="A31" s="50">
        <v>20160506</v>
      </c>
      <c r="B31" s="50">
        <v>-0.63</v>
      </c>
      <c r="C31" s="50">
        <v>-1.23</v>
      </c>
      <c r="D31" s="50">
        <v>-0.52</v>
      </c>
      <c r="E31" s="50">
        <v>3.0000000000000001E-3</v>
      </c>
      <c r="F31" s="51">
        <v>42492</v>
      </c>
      <c r="G31" s="53">
        <f>100*LN('Stock Price'!B31/'Stock Price'!B32)-$E31</f>
        <v>-4.2294015730457275</v>
      </c>
      <c r="H31" s="53">
        <f>100*LN('Stock Price'!C31/'Stock Price'!C32)-$E31</f>
        <v>-2.3560537058017812</v>
      </c>
      <c r="I31" s="53">
        <f>100*LN('Stock Price'!D31/'Stock Price'!D32)-$E31</f>
        <v>-3.1064641691183033</v>
      </c>
      <c r="J31" s="53">
        <f>100*LN('Stock Price'!E31/'Stock Price'!E32)-$E31</f>
        <v>-1.3288981721717006</v>
      </c>
    </row>
    <row r="32" spans="1:10" x14ac:dyDescent="0.35">
      <c r="A32" s="50">
        <v>20160429</v>
      </c>
      <c r="B32" s="50">
        <v>-1.19</v>
      </c>
      <c r="C32" s="50">
        <v>-0.1</v>
      </c>
      <c r="D32" s="50">
        <v>1.75</v>
      </c>
      <c r="E32" s="50">
        <v>2E-3</v>
      </c>
      <c r="F32" s="51">
        <v>42485</v>
      </c>
      <c r="G32" s="53">
        <f>100*LN('Stock Price'!B32/'Stock Price'!B33)-$E32</f>
        <v>-2.7671610143293242</v>
      </c>
      <c r="H32" s="53">
        <f>100*LN('Stock Price'!C32/'Stock Price'!C33)-$E32</f>
        <v>3.086350252189491</v>
      </c>
      <c r="I32" s="53">
        <f>100*LN('Stock Price'!D32/'Stock Price'!D33)-$E32</f>
        <v>-6.6514765032945657</v>
      </c>
      <c r="J32" s="53">
        <f>100*LN('Stock Price'!E32/'Stock Price'!E33)-$E32</f>
        <v>-2.2808296896081881</v>
      </c>
    </row>
    <row r="33" spans="1:10" x14ac:dyDescent="0.35">
      <c r="A33" s="50">
        <v>20160422</v>
      </c>
      <c r="B33" s="50">
        <v>0.74</v>
      </c>
      <c r="C33" s="50">
        <v>0.6</v>
      </c>
      <c r="D33" s="50">
        <v>1.74</v>
      </c>
      <c r="E33" s="50">
        <v>2E-3</v>
      </c>
      <c r="F33" s="51">
        <v>42478</v>
      </c>
      <c r="G33" s="53">
        <f>100*LN('Stock Price'!B33/'Stock Price'!B34)-$E33</f>
        <v>5.1515393198449058</v>
      </c>
      <c r="H33" s="53">
        <f>100*LN('Stock Price'!C33/'Stock Price'!C34)-$E33</f>
        <v>-1.1941252507080831</v>
      </c>
      <c r="I33" s="53">
        <f>100*LN('Stock Price'!D33/'Stock Price'!D34)-$E33</f>
        <v>2.917514342689123</v>
      </c>
      <c r="J33" s="53">
        <f>100*LN('Stock Price'!E33/'Stock Price'!E34)-$E33</f>
        <v>1.9275776720258735</v>
      </c>
    </row>
    <row r="34" spans="1:10" x14ac:dyDescent="0.35">
      <c r="A34" s="50">
        <v>20160415</v>
      </c>
      <c r="B34" s="50">
        <v>1.94</v>
      </c>
      <c r="C34" s="50">
        <v>0.74</v>
      </c>
      <c r="D34" s="50">
        <v>2.0699999999999998</v>
      </c>
      <c r="E34" s="50">
        <v>2E-3</v>
      </c>
      <c r="F34" s="51">
        <v>42471</v>
      </c>
      <c r="G34" s="53">
        <f>100*LN('Stock Price'!B34/'Stock Price'!B35)-$E34</f>
        <v>-0.86603558182236107</v>
      </c>
      <c r="H34" s="53">
        <f>100*LN('Stock Price'!C34/'Stock Price'!C35)-$E34</f>
        <v>5.1897142675111425</v>
      </c>
      <c r="I34" s="53">
        <f>100*LN('Stock Price'!D34/'Stock Price'!D35)-$E34</f>
        <v>1.0092389639360961</v>
      </c>
      <c r="J34" s="53">
        <f>100*LN('Stock Price'!E34/'Stock Price'!E35)-$E34</f>
        <v>0.63579758787496066</v>
      </c>
    </row>
    <row r="35" spans="1:10" x14ac:dyDescent="0.35">
      <c r="A35" s="50">
        <v>20160408</v>
      </c>
      <c r="B35" s="50">
        <v>-1.17</v>
      </c>
      <c r="C35" s="50">
        <v>-0.18</v>
      </c>
      <c r="D35" s="50">
        <v>-1.67</v>
      </c>
      <c r="E35" s="50">
        <v>2E-3</v>
      </c>
      <c r="F35" s="51">
        <v>42464</v>
      </c>
      <c r="G35" s="53">
        <f>100*LN('Stock Price'!B35/'Stock Price'!B36)-$E35</f>
        <v>3.8714834954085586</v>
      </c>
      <c r="H35" s="53">
        <f>100*LN('Stock Price'!C35/'Stock Price'!C36)-$E35</f>
        <v>-1.6683046625357736</v>
      </c>
      <c r="I35" s="53">
        <f>100*LN('Stock Price'!D35/'Stock Price'!D36)-$E35</f>
        <v>4.8868982338087541</v>
      </c>
      <c r="J35" s="53">
        <f>100*LN('Stock Price'!E35/'Stock Price'!E36)-$E35</f>
        <v>0.34949692145741079</v>
      </c>
    </row>
    <row r="36" spans="1:10" x14ac:dyDescent="0.35">
      <c r="A36" s="50">
        <v>20160401</v>
      </c>
      <c r="B36" s="50">
        <v>2.06</v>
      </c>
      <c r="C36" s="50">
        <v>1.62</v>
      </c>
      <c r="D36" s="50">
        <v>-2.0099999999999998</v>
      </c>
      <c r="E36" s="50">
        <v>2E-3</v>
      </c>
      <c r="F36" s="51">
        <v>42457</v>
      </c>
      <c r="G36" s="53">
        <f>100*LN('Stock Price'!B36/'Stock Price'!B37)-$E36</f>
        <v>2.2689307622448029</v>
      </c>
      <c r="H36" s="53">
        <f>100*LN('Stock Price'!C36/'Stock Price'!C37)-$E36</f>
        <v>3.5543568329121813</v>
      </c>
      <c r="I36" s="53">
        <f>100*LN('Stock Price'!D36/'Stock Price'!D37)-$E36</f>
        <v>0.6424289295748089</v>
      </c>
      <c r="J36" s="53">
        <f>100*LN('Stock Price'!E36/'Stock Price'!E37)-$E36</f>
        <v>0.32995034033304299</v>
      </c>
    </row>
    <row r="37" spans="1:10" x14ac:dyDescent="0.35">
      <c r="A37" s="50">
        <v>20160324</v>
      </c>
      <c r="B37" s="50">
        <v>-0.8</v>
      </c>
      <c r="C37" s="50">
        <v>-0.87</v>
      </c>
      <c r="D37" s="50">
        <v>-0.97</v>
      </c>
      <c r="E37" s="50">
        <v>5.0000000000000001E-3</v>
      </c>
      <c r="F37" s="51">
        <v>42450</v>
      </c>
      <c r="G37" s="53">
        <f>100*LN('Stock Price'!B37/'Stock Price'!B38)-$E37</f>
        <v>1.5421070415776617</v>
      </c>
      <c r="H37" s="53">
        <f>100*LN('Stock Price'!C37/'Stock Price'!C38)-$E37</f>
        <v>-3.8913078137363697</v>
      </c>
      <c r="I37" s="53">
        <f>100*LN('Stock Price'!D37/'Stock Price'!D38)-$E37</f>
        <v>1.7812983482626754</v>
      </c>
      <c r="J37" s="53">
        <f>100*LN('Stock Price'!E37/'Stock Price'!E38)-$E37</f>
        <v>-2.0414801830125704</v>
      </c>
    </row>
    <row r="38" spans="1:10" x14ac:dyDescent="0.35">
      <c r="A38" s="50">
        <v>20160318</v>
      </c>
      <c r="B38" s="50">
        <v>1.42</v>
      </c>
      <c r="C38" s="50">
        <v>-0.3</v>
      </c>
      <c r="D38" s="50">
        <v>0.2</v>
      </c>
      <c r="E38" s="50">
        <v>5.0000000000000001E-3</v>
      </c>
      <c r="F38" s="51">
        <v>42443</v>
      </c>
      <c r="G38" s="53">
        <f>100*LN('Stock Price'!B38/'Stock Price'!B39)-$E38</f>
        <v>-3.5155035407071904</v>
      </c>
      <c r="H38" s="53">
        <f>100*LN('Stock Price'!C38/'Stock Price'!C39)-$E38</f>
        <v>-1.4996594559857084</v>
      </c>
      <c r="I38" s="53">
        <f>100*LN('Stock Price'!D38/'Stock Price'!D39)-$E38</f>
        <v>-3.0858438308001639</v>
      </c>
      <c r="J38" s="53">
        <f>100*LN('Stock Price'!E38/'Stock Price'!E39)-$E38</f>
        <v>1.0183398283044287</v>
      </c>
    </row>
    <row r="39" spans="1:10" x14ac:dyDescent="0.35">
      <c r="A39" s="50">
        <v>20160311</v>
      </c>
      <c r="B39" s="50">
        <v>1</v>
      </c>
      <c r="C39" s="50">
        <v>-0.5</v>
      </c>
      <c r="D39" s="50">
        <v>1.26</v>
      </c>
      <c r="E39" s="50">
        <v>5.0000000000000001E-3</v>
      </c>
      <c r="F39" s="51">
        <v>42436</v>
      </c>
      <c r="G39" s="53">
        <f>100*LN('Stock Price'!B39/'Stock Price'!B40)-$E39</f>
        <v>-1.6090719984258162</v>
      </c>
      <c r="H39" s="53">
        <f>100*LN('Stock Price'!C39/'Stock Price'!C40)-$E39</f>
        <v>3.1025945688750411</v>
      </c>
      <c r="I39" s="53">
        <f>100*LN('Stock Price'!D39/'Stock Price'!D40)-$E39</f>
        <v>-0.65092512695076321</v>
      </c>
      <c r="J39" s="53">
        <f>100*LN('Stock Price'!E39/'Stock Price'!E40)-$E39</f>
        <v>3.7255221802635945</v>
      </c>
    </row>
    <row r="40" spans="1:10" x14ac:dyDescent="0.35">
      <c r="A40" s="50">
        <v>20160304</v>
      </c>
      <c r="B40" s="50">
        <v>3.08</v>
      </c>
      <c r="C40" s="50">
        <v>1.17</v>
      </c>
      <c r="D40" s="50">
        <v>2.42</v>
      </c>
      <c r="E40" s="50">
        <v>5.0000000000000001E-3</v>
      </c>
      <c r="F40" s="51">
        <v>42429</v>
      </c>
      <c r="G40" s="53">
        <f>100*LN('Stock Price'!B40/'Stock Price'!B41)-$E40</f>
        <v>-0.21315934255030392</v>
      </c>
      <c r="H40" s="53">
        <f>100*LN('Stock Price'!C40/'Stock Price'!C41)-$E40</f>
        <v>0.956089947515123</v>
      </c>
      <c r="I40" s="53">
        <f>100*LN('Stock Price'!D40/'Stock Price'!D41)-$E40</f>
        <v>-0.84044392967512638</v>
      </c>
      <c r="J40" s="53">
        <f>100*LN('Stock Price'!E40/'Stock Price'!E41)-$E40</f>
        <v>4.2481785531808889</v>
      </c>
    </row>
    <row r="41" spans="1:10" x14ac:dyDescent="0.35">
      <c r="A41" s="50">
        <v>20160226</v>
      </c>
      <c r="B41" s="50">
        <v>1.84</v>
      </c>
      <c r="C41" s="50">
        <v>1.28</v>
      </c>
      <c r="D41" s="50">
        <v>-0.06</v>
      </c>
      <c r="E41" s="50">
        <v>5.0000000000000001E-3</v>
      </c>
      <c r="F41" s="51">
        <v>42422</v>
      </c>
      <c r="G41" s="53">
        <f>100*LN('Stock Price'!B41/'Stock Price'!B42)-$E41</f>
        <v>1.1701627354872963</v>
      </c>
      <c r="H41" s="53">
        <f>100*LN('Stock Price'!C41/'Stock Price'!C42)-$E41</f>
        <v>1.5522023832318763</v>
      </c>
      <c r="I41" s="53">
        <f>100*LN('Stock Price'!D41/'Stock Price'!D42)-$E41</f>
        <v>0.7329409982596361</v>
      </c>
      <c r="J41" s="53">
        <f>100*LN('Stock Price'!E41/'Stock Price'!E42)-$E41</f>
        <v>5.7501691350713564</v>
      </c>
    </row>
    <row r="42" spans="1:10" x14ac:dyDescent="0.35">
      <c r="A42" s="50">
        <v>20160219</v>
      </c>
      <c r="B42" s="50">
        <v>3.09</v>
      </c>
      <c r="C42" s="50">
        <v>0.96</v>
      </c>
      <c r="D42" s="50">
        <v>-1.67</v>
      </c>
      <c r="E42" s="50">
        <v>5.0000000000000001E-3</v>
      </c>
      <c r="F42" s="51">
        <v>42416</v>
      </c>
      <c r="G42" s="53">
        <f>100*LN('Stock Price'!B42/'Stock Price'!B43)-$E42</f>
        <v>5.5723145732135855</v>
      </c>
      <c r="H42" s="53">
        <f>100*LN('Stock Price'!C42/'Stock Price'!C43)-$E42</f>
        <v>-0.93251653884340246</v>
      </c>
      <c r="I42" s="53">
        <f>100*LN('Stock Price'!D42/'Stock Price'!D43)-$E42</f>
        <v>0.15105582174251306</v>
      </c>
      <c r="J42" s="53">
        <f>100*LN('Stock Price'!E42/'Stock Price'!E43)-$E42</f>
        <v>5.5764293337831594</v>
      </c>
    </row>
    <row r="43" spans="1:10" x14ac:dyDescent="0.35">
      <c r="A43" s="50">
        <v>20160212</v>
      </c>
      <c r="B43" s="50">
        <v>-0.82</v>
      </c>
      <c r="C43" s="50">
        <v>-0.5</v>
      </c>
      <c r="D43" s="50">
        <v>-0.39</v>
      </c>
      <c r="E43" s="50">
        <v>5.0000000000000001E-3</v>
      </c>
      <c r="F43" s="51">
        <v>42408</v>
      </c>
      <c r="G43" s="53">
        <f>100*LN('Stock Price'!B43/'Stock Price'!B44)-$E43</f>
        <v>-6.5189970102643011</v>
      </c>
      <c r="H43" s="53">
        <f>100*LN('Stock Price'!C43/'Stock Price'!C44)-$E43</f>
        <v>-3.5220181154411718</v>
      </c>
      <c r="I43" s="53">
        <f>100*LN('Stock Price'!D43/'Stock Price'!D44)-$E43</f>
        <v>4.5480456344540494</v>
      </c>
      <c r="J43" s="53">
        <f>100*LN('Stock Price'!E43/'Stock Price'!E44)-$E43</f>
        <v>-4.3866845363250029</v>
      </c>
    </row>
    <row r="44" spans="1:10" x14ac:dyDescent="0.35">
      <c r="A44" s="50">
        <v>20160205</v>
      </c>
      <c r="B44" s="50">
        <v>-3.36</v>
      </c>
      <c r="C44" s="50">
        <v>-1.36</v>
      </c>
      <c r="D44" s="50">
        <v>1.22</v>
      </c>
      <c r="E44" s="50">
        <v>5.0000000000000001E-3</v>
      </c>
      <c r="F44" s="51">
        <v>42401</v>
      </c>
      <c r="G44" s="53">
        <f>100*LN('Stock Price'!B44/'Stock Price'!B45)-$E44</f>
        <v>-3.4322941324907741</v>
      </c>
      <c r="H44" s="53">
        <f>100*LN('Stock Price'!C44/'Stock Price'!C45)-$E44</f>
        <v>-8.3075839927991773</v>
      </c>
      <c r="I44" s="53">
        <f>100*LN('Stock Price'!D44/'Stock Price'!D45)-$E44</f>
        <v>-2.4570687826819579</v>
      </c>
      <c r="J44" s="53">
        <f>100*LN('Stock Price'!E44/'Stock Price'!E45)-$E44</f>
        <v>-5.9587286682091367</v>
      </c>
    </row>
    <row r="45" spans="1:10" x14ac:dyDescent="0.35">
      <c r="A45" s="50">
        <v>20160129</v>
      </c>
      <c r="B45" s="50">
        <v>1.71</v>
      </c>
      <c r="C45" s="50">
        <v>-0.67</v>
      </c>
      <c r="D45" s="50">
        <v>3.78</v>
      </c>
      <c r="E45" s="50">
        <v>2E-3</v>
      </c>
      <c r="F45" s="51">
        <v>42394</v>
      </c>
      <c r="G45" s="53">
        <f>100*LN('Stock Price'!B45/'Stock Price'!B46)-$E45</f>
        <v>1.5257557989859059</v>
      </c>
      <c r="H45" s="53">
        <f>100*LN('Stock Price'!C45/'Stock Price'!C46)-$E45</f>
        <v>8.0202055561138241</v>
      </c>
      <c r="I45" s="53">
        <f>100*LN('Stock Price'!D45/'Stock Price'!D46)-$E45</f>
        <v>-8.1258146697646456</v>
      </c>
      <c r="J45" s="53">
        <f>100*LN('Stock Price'!E45/'Stock Price'!E46)-$E45</f>
        <v>3.7960782678929439</v>
      </c>
    </row>
    <row r="46" spans="1:10" x14ac:dyDescent="0.35">
      <c r="A46" s="50">
        <v>20160122</v>
      </c>
      <c r="B46" s="50">
        <v>1.38</v>
      </c>
      <c r="C46" s="50">
        <v>0.24</v>
      </c>
      <c r="D46" s="50">
        <v>-1.51</v>
      </c>
      <c r="E46" s="50">
        <v>2E-3</v>
      </c>
      <c r="F46" s="51">
        <v>42388</v>
      </c>
      <c r="G46" s="53">
        <f>100*LN('Stock Price'!B46/'Stock Price'!B47)-$E46</f>
        <v>-1.6285822889971193</v>
      </c>
      <c r="H46" s="53">
        <f>100*LN('Stock Price'!C46/'Stock Price'!C47)-$E46</f>
        <v>-5.0519646577901138</v>
      </c>
      <c r="I46" s="53">
        <f>100*LN('Stock Price'!D46/'Stock Price'!D47)-$E46</f>
        <v>5.4271900088350069</v>
      </c>
      <c r="J46" s="53">
        <f>100*LN('Stock Price'!E46/'Stock Price'!E47)-$E46</f>
        <v>6.263488782896232</v>
      </c>
    </row>
    <row r="47" spans="1:10" x14ac:dyDescent="0.35">
      <c r="A47" s="50">
        <v>20160115</v>
      </c>
      <c r="B47" s="50">
        <v>-2.5499999999999998</v>
      </c>
      <c r="C47" s="50">
        <v>-1.33</v>
      </c>
      <c r="D47" s="50">
        <v>-0.13</v>
      </c>
      <c r="E47" s="50">
        <v>2E-3</v>
      </c>
      <c r="F47" s="51">
        <v>42380</v>
      </c>
      <c r="G47" s="53">
        <f>100*LN('Stock Price'!B47/'Stock Price'!B48)-$E47</f>
        <v>-2.62347060265735</v>
      </c>
      <c r="H47" s="53">
        <f>100*LN('Stock Price'!C47/'Stock Price'!C48)-$E47</f>
        <v>-5.7350987916184177</v>
      </c>
      <c r="I47" s="53">
        <f>100*LN('Stock Price'!D47/'Stock Price'!D48)-$E47</f>
        <v>-5.5873083189031894</v>
      </c>
      <c r="J47" s="53">
        <f>100*LN('Stock Price'!E47/'Stock Price'!E48)-$E47</f>
        <v>-2.4640367525443718</v>
      </c>
    </row>
    <row r="48" spans="1:10" x14ac:dyDescent="0.35">
      <c r="A48" s="50">
        <v>20160108</v>
      </c>
      <c r="B48" s="50">
        <v>-6.22</v>
      </c>
      <c r="C48" s="50">
        <v>-1.76</v>
      </c>
      <c r="D48" s="50">
        <v>0.56000000000000005</v>
      </c>
      <c r="E48" s="50">
        <v>2E-3</v>
      </c>
      <c r="F48" s="51">
        <v>42373</v>
      </c>
      <c r="G48" s="53">
        <f>100*LN('Stock Price'!B48/'Stock Price'!B49)-$E48</f>
        <v>-8.7853743898211309</v>
      </c>
      <c r="H48" s="53">
        <f>100*LN('Stock Price'!C48/'Stock Price'!C49)-$E48</f>
        <v>-6.1358984733803581</v>
      </c>
      <c r="I48" s="53">
        <f>100*LN('Stock Price'!D48/'Stock Price'!D49)-$E48</f>
        <v>-9.4345350128500911</v>
      </c>
      <c r="J48" s="53">
        <f>100*LN('Stock Price'!E48/'Stock Price'!E49)-$E48</f>
        <v>-11.39160803179524</v>
      </c>
    </row>
    <row r="49" spans="1:10" x14ac:dyDescent="0.35">
      <c r="A49" s="50">
        <v>20151231</v>
      </c>
      <c r="B49" s="50">
        <v>-0.9</v>
      </c>
      <c r="C49" s="50">
        <v>-0.78</v>
      </c>
      <c r="D49" s="50">
        <v>-0.56999999999999995</v>
      </c>
      <c r="E49" s="50">
        <v>3.0000000000000001E-3</v>
      </c>
      <c r="F49" s="51">
        <v>42366</v>
      </c>
      <c r="G49" s="53">
        <f>100*LN('Stock Price'!B49/'Stock Price'!B50)-$E49</f>
        <v>1.3311407468234666</v>
      </c>
      <c r="H49" s="53">
        <f>100*LN('Stock Price'!C49/'Stock Price'!C50)-$E49</f>
        <v>-1.3726123809864421</v>
      </c>
      <c r="I49" s="53">
        <f>100*LN('Stock Price'!D49/'Stock Price'!D50)-$E49</f>
        <v>-1.9708162796223081</v>
      </c>
      <c r="J49" s="53">
        <f>100*LN('Stock Price'!E49/'Stock Price'!E50)-$E49</f>
        <v>-1.5382051859654573</v>
      </c>
    </row>
    <row r="50" spans="1:10" x14ac:dyDescent="0.35">
      <c r="A50" s="50">
        <v>20151224</v>
      </c>
      <c r="B50" s="50">
        <v>2.83</v>
      </c>
      <c r="C50" s="50">
        <v>0.22</v>
      </c>
      <c r="D50" s="50">
        <v>0.98</v>
      </c>
      <c r="E50" s="50">
        <v>3.0000000000000001E-3</v>
      </c>
      <c r="F50" s="51">
        <v>42359</v>
      </c>
      <c r="G50" s="53">
        <f>100*LN('Stock Price'!B50/'Stock Price'!B51)-$E50</f>
        <v>2.9922257339901122</v>
      </c>
      <c r="H50" s="53">
        <f>100*LN('Stock Price'!C50/'Stock Price'!C51)-$E50</f>
        <v>5.3454414644552024</v>
      </c>
      <c r="I50" s="53">
        <f>100*LN('Stock Price'!D50/'Stock Price'!D51)-$E50</f>
        <v>10.338564485268071</v>
      </c>
      <c r="J50" s="53">
        <f>100*LN('Stock Price'!E50/'Stock Price'!E51)-$E50</f>
        <v>2.5038171613698985</v>
      </c>
    </row>
    <row r="51" spans="1:10" x14ac:dyDescent="0.35">
      <c r="A51" s="50">
        <v>20151218</v>
      </c>
      <c r="B51" s="50">
        <v>-0.35</v>
      </c>
      <c r="C51" s="50">
        <v>0.16</v>
      </c>
      <c r="D51" s="50">
        <v>-0.76</v>
      </c>
      <c r="E51" s="50">
        <v>3.0000000000000001E-3</v>
      </c>
      <c r="F51" s="51">
        <v>42352</v>
      </c>
      <c r="G51" s="53">
        <f>100*LN('Stock Price'!B51/'Stock Price'!B52)-$E51</f>
        <v>3.4333605960721854</v>
      </c>
      <c r="H51" s="53">
        <f>100*LN('Stock Price'!C51/'Stock Price'!C52)-$E51</f>
        <v>-0.69758978719633702</v>
      </c>
      <c r="I51" s="53">
        <f>100*LN('Stock Price'!D51/'Stock Price'!D52)-$E51</f>
        <v>1.6263248309589879</v>
      </c>
      <c r="J51" s="53">
        <f>100*LN('Stock Price'!E51/'Stock Price'!E52)-$E51</f>
        <v>3.1935716237923359</v>
      </c>
    </row>
    <row r="52" spans="1:10" x14ac:dyDescent="0.35">
      <c r="A52" s="50">
        <v>20151211</v>
      </c>
      <c r="B52" s="50">
        <v>-3.93</v>
      </c>
      <c r="C52" s="50">
        <v>-0.86</v>
      </c>
      <c r="D52" s="50">
        <v>-1.63</v>
      </c>
      <c r="E52" s="50">
        <v>3.0000000000000001E-3</v>
      </c>
      <c r="F52" s="51">
        <v>42345</v>
      </c>
      <c r="G52" s="53">
        <f>100*LN('Stock Price'!B52/'Stock Price'!B53)-$E52</f>
        <v>-0.35165453950842618</v>
      </c>
      <c r="H52" s="53">
        <f>100*LN('Stock Price'!C52/'Stock Price'!C53)-$E52</f>
        <v>-2.2575349908329199</v>
      </c>
      <c r="I52" s="53">
        <f>100*LN('Stock Price'!D52/'Stock Price'!D53)-$E52</f>
        <v>-1.8318731964947397</v>
      </c>
      <c r="J52" s="53">
        <f>100*LN('Stock Price'!E52/'Stock Price'!E53)-$E52</f>
        <v>-5.9388785492100409</v>
      </c>
    </row>
    <row r="53" spans="1:10" x14ac:dyDescent="0.35">
      <c r="A53" s="50">
        <v>20151204</v>
      </c>
      <c r="B53" s="50">
        <v>-0.19</v>
      </c>
      <c r="C53" s="50">
        <v>-1.51</v>
      </c>
      <c r="D53" s="50">
        <v>0.2</v>
      </c>
      <c r="E53" s="50">
        <v>3.0000000000000001E-3</v>
      </c>
      <c r="F53" s="51">
        <v>42338</v>
      </c>
      <c r="G53" s="53">
        <f>100*LN('Stock Price'!B53/'Stock Price'!B54)-$E53</f>
        <v>-3.0361511764835498</v>
      </c>
      <c r="H53" s="53">
        <f>100*LN('Stock Price'!C53/'Stock Price'!C54)-$E53</f>
        <v>-1.9738946309699092</v>
      </c>
      <c r="I53" s="53">
        <f>100*LN('Stock Price'!D53/'Stock Price'!D54)-$E53</f>
        <v>-2.0922945301722167</v>
      </c>
      <c r="J53" s="53">
        <f>100*LN('Stock Price'!E53/'Stock Price'!E54)-$E53</f>
        <v>-0.67625569920280348</v>
      </c>
    </row>
    <row r="54" spans="1:10" x14ac:dyDescent="0.35">
      <c r="A54" s="50">
        <v>20151127</v>
      </c>
      <c r="B54" s="50">
        <v>0.38</v>
      </c>
      <c r="C54" s="50">
        <v>2.4300000000000002</v>
      </c>
      <c r="D54" s="50">
        <v>-0.92</v>
      </c>
      <c r="E54" s="50">
        <v>1E-3</v>
      </c>
      <c r="F54" s="51">
        <v>42331</v>
      </c>
      <c r="G54" s="53">
        <f>100*LN('Stock Price'!B54/'Stock Price'!B55)-$E54</f>
        <v>1.0446536388022507</v>
      </c>
      <c r="H54" s="53">
        <f>100*LN('Stock Price'!C54/'Stock Price'!C55)-$E54</f>
        <v>-0.35166032316166185</v>
      </c>
      <c r="I54" s="53">
        <f>100*LN('Stock Price'!D54/'Stock Price'!D55)-$E54</f>
        <v>-0.72602526747793061</v>
      </c>
      <c r="J54" s="53">
        <f>100*LN('Stock Price'!E54/'Stock Price'!E55)-$E54</f>
        <v>0.65114546640713866</v>
      </c>
    </row>
    <row r="55" spans="1:10" x14ac:dyDescent="0.35">
      <c r="A55" s="50">
        <v>20151120</v>
      </c>
      <c r="B55" s="50">
        <v>3.14</v>
      </c>
      <c r="C55" s="50">
        <v>-0.51</v>
      </c>
      <c r="D55" s="50">
        <v>-0.86</v>
      </c>
      <c r="E55" s="50">
        <v>1E-3</v>
      </c>
      <c r="F55" s="51">
        <v>42324</v>
      </c>
      <c r="G55" s="53">
        <f>100*LN('Stock Price'!B55/'Stock Price'!B56)-$E55</f>
        <v>1.8494903689192146</v>
      </c>
      <c r="H55" s="53">
        <f>100*LN('Stock Price'!C55/'Stock Price'!C56)-$E55</f>
        <v>1.0154202192428095</v>
      </c>
      <c r="I55" s="53">
        <f>100*LN('Stock Price'!D55/'Stock Price'!D56)-$E55</f>
        <v>5.448315500825081</v>
      </c>
      <c r="J55" s="53">
        <f>100*LN('Stock Price'!E55/'Stock Price'!E56)-$E55</f>
        <v>4.5226937468966106</v>
      </c>
    </row>
    <row r="56" spans="1:10" x14ac:dyDescent="0.35">
      <c r="A56" s="50">
        <v>20151113</v>
      </c>
      <c r="B56" s="50">
        <v>-3.72</v>
      </c>
      <c r="C56" s="50">
        <v>-0.89</v>
      </c>
      <c r="D56" s="50">
        <v>-0.06</v>
      </c>
      <c r="E56" s="50">
        <v>1E-3</v>
      </c>
      <c r="F56" s="51">
        <v>42317</v>
      </c>
      <c r="G56" s="53">
        <f>100*LN('Stock Price'!B56/'Stock Price'!B57)-$E56</f>
        <v>-3.6243508997172396</v>
      </c>
      <c r="H56" s="53">
        <f>100*LN('Stock Price'!C56/'Stock Price'!C57)-$E56</f>
        <v>2.7849884522848845</v>
      </c>
      <c r="I56" s="53">
        <f>100*LN('Stock Price'!D56/'Stock Price'!D57)-$E56</f>
        <v>-8.2561421264966413</v>
      </c>
      <c r="J56" s="53">
        <f>100*LN('Stock Price'!E56/'Stock Price'!E57)-$E56</f>
        <v>-4.7296548391950761</v>
      </c>
    </row>
    <row r="57" spans="1:10" x14ac:dyDescent="0.35">
      <c r="A57" s="50">
        <v>20151106</v>
      </c>
      <c r="B57" s="50">
        <v>1.38</v>
      </c>
      <c r="C57" s="50">
        <v>2.61</v>
      </c>
      <c r="D57" s="50">
        <v>0.51</v>
      </c>
      <c r="E57" s="50">
        <v>1E-3</v>
      </c>
      <c r="F57" s="51">
        <v>42310</v>
      </c>
      <c r="G57" s="53">
        <f>100*LN('Stock Price'!B57/'Stock Price'!B58)-$E57</f>
        <v>1.6513080538490741</v>
      </c>
      <c r="H57" s="53">
        <f>100*LN('Stock Price'!C57/'Stock Price'!C58)-$E57</f>
        <v>9.9542947839823768</v>
      </c>
      <c r="I57" s="53">
        <f>100*LN('Stock Price'!D57/'Stock Price'!D58)-$E57</f>
        <v>-4.9884617195604841</v>
      </c>
      <c r="J57" s="53">
        <f>100*LN('Stock Price'!E57/'Stock Price'!E58)-$E57</f>
        <v>-0.91634261189416011</v>
      </c>
    </row>
    <row r="58" spans="1:10" x14ac:dyDescent="0.35">
      <c r="A58" s="50">
        <v>20151030</v>
      </c>
      <c r="B58" s="50">
        <v>0.17</v>
      </c>
      <c r="C58" s="50">
        <v>-0.44</v>
      </c>
      <c r="D58" s="50">
        <v>-1.46</v>
      </c>
      <c r="E58" s="50">
        <v>0</v>
      </c>
      <c r="F58" s="51">
        <v>42303</v>
      </c>
      <c r="G58" s="53">
        <f>100*LN('Stock Price'!B58/'Stock Price'!B59)-$E58</f>
        <v>4.765666517937472</v>
      </c>
      <c r="H58" s="53">
        <f>100*LN('Stock Price'!C58/'Stock Price'!C59)-$E58</f>
        <v>-0.31131610714725921</v>
      </c>
      <c r="I58" s="53">
        <f>100*LN('Stock Price'!D58/'Stock Price'!D59)-$E58</f>
        <v>2.1665635858392038</v>
      </c>
      <c r="J58" s="53">
        <f>100*LN('Stock Price'!E58/'Stock Price'!E59)-$E58</f>
        <v>-1.6838192233701226</v>
      </c>
    </row>
    <row r="59" spans="1:10" x14ac:dyDescent="0.35">
      <c r="A59" s="50">
        <v>20151023</v>
      </c>
      <c r="B59" s="50">
        <v>1.7</v>
      </c>
      <c r="C59" s="50">
        <v>-1.53</v>
      </c>
      <c r="D59" s="50">
        <v>0.25</v>
      </c>
      <c r="E59" s="50">
        <v>0</v>
      </c>
      <c r="F59" s="51">
        <v>42296</v>
      </c>
      <c r="G59" s="53">
        <f>100*LN('Stock Price'!B59/'Stock Price'!B60)-$E59</f>
        <v>1.6819950655865252</v>
      </c>
      <c r="H59" s="53">
        <f>100*LN('Stock Price'!C59/'Stock Price'!C60)-$E59</f>
        <v>1.7017917471742892</v>
      </c>
      <c r="I59" s="53">
        <f>100*LN('Stock Price'!D59/'Stock Price'!D60)-$E59</f>
        <v>1.849107156088529</v>
      </c>
      <c r="J59" s="53">
        <f>100*LN('Stock Price'!E59/'Stock Price'!E60)-$E59</f>
        <v>4.5192553968293758</v>
      </c>
    </row>
    <row r="60" spans="1:10" x14ac:dyDescent="0.35">
      <c r="A60" s="50">
        <v>20151016</v>
      </c>
      <c r="B60" s="50">
        <v>0.62</v>
      </c>
      <c r="C60" s="50">
        <v>-1.24</v>
      </c>
      <c r="D60" s="50">
        <v>0.08</v>
      </c>
      <c r="E60" s="50">
        <v>0</v>
      </c>
      <c r="F60" s="51">
        <v>42289</v>
      </c>
      <c r="G60" s="53">
        <f>100*LN('Stock Price'!B60/'Stock Price'!B61)-$E60</f>
        <v>1.1855404513227519</v>
      </c>
      <c r="H60" s="53">
        <f>100*LN('Stock Price'!C60/'Stock Price'!C61)-$E60</f>
        <v>-0.80972610446669091</v>
      </c>
      <c r="I60" s="53">
        <f>100*LN('Stock Price'!D60/'Stock Price'!D61)-$E60</f>
        <v>0.42506228477123553</v>
      </c>
      <c r="J60" s="53">
        <f>100*LN('Stock Price'!E60/'Stock Price'!E61)-$E60</f>
        <v>1.4376305632360005</v>
      </c>
    </row>
    <row r="61" spans="1:10" x14ac:dyDescent="0.35">
      <c r="A61" s="50">
        <v>20151009</v>
      </c>
      <c r="B61" s="50">
        <v>3.44</v>
      </c>
      <c r="C61" s="50">
        <v>1.52</v>
      </c>
      <c r="D61" s="50">
        <v>2.02</v>
      </c>
      <c r="E61" s="50">
        <v>0</v>
      </c>
      <c r="F61" s="51">
        <v>42282</v>
      </c>
      <c r="G61" s="53">
        <f>100*LN('Stock Price'!B61/'Stock Price'!B62)-$E61</f>
        <v>-7.5781099301607302</v>
      </c>
      <c r="H61" s="53">
        <f>100*LN('Stock Price'!C61/'Stock Price'!C62)-$E61</f>
        <v>0.53908520621519751</v>
      </c>
      <c r="I61" s="53">
        <f>100*LN('Stock Price'!D61/'Stock Price'!D62)-$E61</f>
        <v>0.80403735185210334</v>
      </c>
      <c r="J61" s="53">
        <f>100*LN('Stock Price'!E61/'Stock Price'!E62)-$E61</f>
        <v>6.4495271774406806</v>
      </c>
    </row>
    <row r="62" spans="1:10" x14ac:dyDescent="0.35">
      <c r="A62" s="50">
        <v>20151002</v>
      </c>
      <c r="B62" s="50">
        <v>0.73</v>
      </c>
      <c r="C62" s="50">
        <v>-1.55</v>
      </c>
      <c r="D62" s="50">
        <v>0.59</v>
      </c>
      <c r="E62" s="50">
        <v>0</v>
      </c>
      <c r="F62" s="51">
        <v>42275</v>
      </c>
      <c r="G62" s="53">
        <f>100*LN('Stock Price'!B62/'Stock Price'!B63)-$E62</f>
        <v>1.9335014318724246</v>
      </c>
      <c r="H62" s="53">
        <f>100*LN('Stock Price'!C62/'Stock Price'!C63)-$E62</f>
        <v>-0.2249706022712768</v>
      </c>
      <c r="I62" s="53">
        <f>100*LN('Stock Price'!D62/'Stock Price'!D63)-$E62</f>
        <v>7.1640311451935279</v>
      </c>
      <c r="J62" s="53">
        <f>100*LN('Stock Price'!E62/'Stock Price'!E63)-$E62</f>
        <v>4.7200859844170937</v>
      </c>
    </row>
    <row r="63" spans="1:10" x14ac:dyDescent="0.35">
      <c r="A63" s="50">
        <v>20150925</v>
      </c>
      <c r="B63" s="50">
        <v>-1.77</v>
      </c>
      <c r="C63" s="50">
        <v>-2.71</v>
      </c>
      <c r="D63" s="50">
        <v>3.69</v>
      </c>
      <c r="E63" s="50">
        <v>0</v>
      </c>
      <c r="F63" s="51">
        <v>42268</v>
      </c>
      <c r="G63" s="53">
        <f>100*LN('Stock Price'!B63/'Stock Price'!B64)-$E63</f>
        <v>-9.9772413790693495</v>
      </c>
      <c r="H63" s="53">
        <f>100*LN('Stock Price'!C63/'Stock Price'!C64)-$E63</f>
        <v>1.5855320653448333</v>
      </c>
      <c r="I63" s="53">
        <f>100*LN('Stock Price'!D63/'Stock Price'!D64)-$E63</f>
        <v>-12.335434219865581</v>
      </c>
      <c r="J63" s="53">
        <f>100*LN('Stock Price'!E63/'Stock Price'!E64)-$E63</f>
        <v>-3.374042024596192</v>
      </c>
    </row>
    <row r="64" spans="1:10" x14ac:dyDescent="0.35">
      <c r="A64" s="50">
        <v>20150918</v>
      </c>
      <c r="B64" s="50">
        <v>-0.15</v>
      </c>
      <c r="C64" s="50">
        <v>1.18</v>
      </c>
      <c r="D64" s="50">
        <v>-1.78</v>
      </c>
      <c r="E64" s="50">
        <v>0</v>
      </c>
      <c r="F64" s="51">
        <v>42261</v>
      </c>
      <c r="G64" s="53">
        <f>100*LN('Stock Price'!B64/'Stock Price'!B65)-$E64</f>
        <v>-0.22220248845126861</v>
      </c>
      <c r="H64" s="53">
        <f>100*LN('Stock Price'!C64/'Stock Price'!C65)-$E64</f>
        <v>2.7779675925377396</v>
      </c>
      <c r="I64" s="53">
        <f>100*LN('Stock Price'!D64/'Stock Price'!D65)-$E64</f>
        <v>-1.0949442116152213</v>
      </c>
      <c r="J64" s="53">
        <f>100*LN('Stock Price'!E64/'Stock Price'!E65)-$E64</f>
        <v>-2.5148349815012883</v>
      </c>
    </row>
    <row r="65" spans="1:10" x14ac:dyDescent="0.35">
      <c r="A65" s="50">
        <v>20150911</v>
      </c>
      <c r="B65" s="50">
        <v>2.09</v>
      </c>
      <c r="C65" s="50">
        <v>-0.43</v>
      </c>
      <c r="D65" s="50">
        <v>-1.52</v>
      </c>
      <c r="E65" s="50">
        <v>0</v>
      </c>
      <c r="F65" s="51">
        <v>42255</v>
      </c>
      <c r="G65" s="53">
        <f>100*LN('Stock Price'!B65/'Stock Price'!B66)-$E65</f>
        <v>4.2458929613181686</v>
      </c>
      <c r="H65" s="53">
        <f>100*LN('Stock Price'!C65/'Stock Price'!C66)-$E65</f>
        <v>2.327336811299884</v>
      </c>
      <c r="I65" s="53">
        <f>100*LN('Stock Price'!D65/'Stock Price'!D66)-$E65</f>
        <v>5.4537892544705402</v>
      </c>
      <c r="J65" s="53">
        <f>100*LN('Stock Price'!E65/'Stock Price'!E66)-$E65</f>
        <v>7.6126839372852988</v>
      </c>
    </row>
    <row r="66" spans="1:10" x14ac:dyDescent="0.35">
      <c r="A66" s="50">
        <v>20150904</v>
      </c>
      <c r="B66" s="50">
        <v>-3.08</v>
      </c>
      <c r="C66" s="50">
        <v>1.45</v>
      </c>
      <c r="D66" s="50">
        <v>0.13</v>
      </c>
      <c r="E66" s="50">
        <v>0</v>
      </c>
      <c r="F66" s="51">
        <v>42247</v>
      </c>
      <c r="G66" s="53">
        <f>100*LN('Stock Price'!B66/'Stock Price'!B67)-$E66</f>
        <v>-0.47198436383590753</v>
      </c>
      <c r="H66" s="53">
        <f>100*LN('Stock Price'!C66/'Stock Price'!C67)-$E66</f>
        <v>1.2086174916688033</v>
      </c>
      <c r="I66" s="53">
        <f>100*LN('Stock Price'!D66/'Stock Price'!D67)-$E66</f>
        <v>-5.5102385922346091</v>
      </c>
      <c r="J66" s="53">
        <f>100*LN('Stock Price'!E66/'Stock Price'!E67)-$E66</f>
        <v>-5.3193932616024053</v>
      </c>
    </row>
    <row r="67" spans="1:10" x14ac:dyDescent="0.35">
      <c r="A67" s="50">
        <v>20150828</v>
      </c>
      <c r="B67" s="50">
        <v>1.07</v>
      </c>
      <c r="C67" s="50">
        <v>0.02</v>
      </c>
      <c r="D67" s="50">
        <v>-0.76</v>
      </c>
      <c r="E67" s="50">
        <v>1E-3</v>
      </c>
      <c r="F67" s="51">
        <v>42240</v>
      </c>
      <c r="G67" s="53">
        <f>100*LN('Stock Price'!B67/'Stock Price'!B68)-$E67</f>
        <v>2.6854902210365035</v>
      </c>
      <c r="H67" s="53">
        <f>100*LN('Stock Price'!C67/'Stock Price'!C68)-$E67</f>
        <v>-3.3489921133853291</v>
      </c>
      <c r="I67" s="53">
        <f>100*LN('Stock Price'!D67/'Stock Price'!D68)-$E67</f>
        <v>4.1050504161796226</v>
      </c>
      <c r="J67" s="53">
        <f>100*LN('Stock Price'!E67/'Stock Price'!E68)-$E67</f>
        <v>5.7094050347882144</v>
      </c>
    </row>
    <row r="68" spans="1:10" x14ac:dyDescent="0.35">
      <c r="A68" s="50">
        <v>20150821</v>
      </c>
      <c r="B68" s="50">
        <v>-5.69</v>
      </c>
      <c r="C68" s="50">
        <v>1.23</v>
      </c>
      <c r="D68" s="50">
        <v>0.02</v>
      </c>
      <c r="E68" s="50">
        <v>1E-3</v>
      </c>
      <c r="F68" s="51">
        <v>42233</v>
      </c>
      <c r="G68" s="53">
        <f>100*LN('Stock Price'!B68/'Stock Price'!B69)-$E68</f>
        <v>-5.5823810601811319</v>
      </c>
      <c r="H68" s="53">
        <f>100*LN('Stock Price'!C68/'Stock Price'!C69)-$E68</f>
        <v>-2.9212510687887883</v>
      </c>
      <c r="I68" s="53">
        <f>100*LN('Stock Price'!D68/'Stock Price'!D69)-$E68</f>
        <v>-8.213758151164205</v>
      </c>
      <c r="J68" s="53">
        <f>100*LN('Stock Price'!E68/'Stock Price'!E69)-$E68</f>
        <v>-5.8269718523154648</v>
      </c>
    </row>
    <row r="69" spans="1:10" x14ac:dyDescent="0.35">
      <c r="A69" s="50">
        <v>20150814</v>
      </c>
      <c r="B69" s="50">
        <v>0.69</v>
      </c>
      <c r="C69" s="50">
        <v>-0.31</v>
      </c>
      <c r="D69" s="50">
        <v>1.26</v>
      </c>
      <c r="E69" s="50">
        <v>1E-3</v>
      </c>
      <c r="F69" s="51">
        <v>42226</v>
      </c>
      <c r="G69" s="53">
        <f>100*LN('Stock Price'!B69/'Stock Price'!B70)-$E69</f>
        <v>1.1605082358133905</v>
      </c>
      <c r="H69" s="53">
        <f>100*LN('Stock Price'!C69/'Stock Price'!C70)-$E69</f>
        <v>-2.7936782797251922</v>
      </c>
      <c r="I69" s="53">
        <f>100*LN('Stock Price'!D69/'Stock Price'!D70)-$E69</f>
        <v>0.49543211841929713</v>
      </c>
      <c r="J69" s="53">
        <f>100*LN('Stock Price'!E69/'Stock Price'!E70)-$E69</f>
        <v>-0.62276962126838331</v>
      </c>
    </row>
    <row r="70" spans="1:10" x14ac:dyDescent="0.35">
      <c r="A70" s="50">
        <v>20150807</v>
      </c>
      <c r="B70" s="50">
        <v>-1.36</v>
      </c>
      <c r="C70" s="50">
        <v>-1.21</v>
      </c>
      <c r="D70" s="50">
        <v>0.89</v>
      </c>
      <c r="E70" s="50">
        <v>1E-3</v>
      </c>
      <c r="F70" s="51">
        <v>42219</v>
      </c>
      <c r="G70" s="53">
        <f>100*LN('Stock Price'!B70/'Stock Price'!B71)-$E70</f>
        <v>-3.1169929656201663</v>
      </c>
      <c r="H70" s="53">
        <f>100*LN('Stock Price'!C70/'Stock Price'!C71)-$E70</f>
        <v>0.17645863480964694</v>
      </c>
      <c r="I70" s="53">
        <f>100*LN('Stock Price'!D70/'Stock Price'!D71)-$E70</f>
        <v>-2.0407043011916524</v>
      </c>
      <c r="J70" s="53">
        <f>100*LN('Stock Price'!E70/'Stock Price'!E71)-$E70</f>
        <v>1.6657083102730148</v>
      </c>
    </row>
    <row r="71" spans="1:10" x14ac:dyDescent="0.35">
      <c r="A71" s="50">
        <v>20150731</v>
      </c>
      <c r="B71" s="50">
        <v>1.19</v>
      </c>
      <c r="C71" s="50">
        <v>0.04</v>
      </c>
      <c r="D71" s="50">
        <v>-0.81</v>
      </c>
      <c r="E71" s="50">
        <v>0</v>
      </c>
      <c r="F71" s="51">
        <v>42212</v>
      </c>
      <c r="G71" s="53">
        <f>100*LN('Stock Price'!B71/'Stock Price'!B72)-$E71</f>
        <v>6.0618740230412964</v>
      </c>
      <c r="H71" s="53">
        <f>100*LN('Stock Price'!C71/'Stock Price'!C72)-$E71</f>
        <v>4.3564067580120485</v>
      </c>
      <c r="I71" s="53">
        <f>100*LN('Stock Price'!D71/'Stock Price'!D72)-$E71</f>
        <v>-2.7429817264585337</v>
      </c>
      <c r="J71" s="53">
        <f>100*LN('Stock Price'!E71/'Stock Price'!E72)-$E71</f>
        <v>2.2902769421108555</v>
      </c>
    </row>
    <row r="72" spans="1:10" x14ac:dyDescent="0.35">
      <c r="A72" s="50">
        <v>20150724</v>
      </c>
      <c r="B72" s="50">
        <v>-2.33</v>
      </c>
      <c r="C72" s="50">
        <v>-1.44</v>
      </c>
      <c r="D72" s="50">
        <v>-0.42</v>
      </c>
      <c r="E72" s="50">
        <v>0</v>
      </c>
      <c r="F72" s="51">
        <v>42205</v>
      </c>
      <c r="G72" s="53">
        <f>100*LN('Stock Price'!B72/'Stock Price'!B73)-$E72</f>
        <v>-29.916475191235591</v>
      </c>
      <c r="H72" s="53">
        <f>100*LN('Stock Price'!C72/'Stock Price'!C73)-$E72</f>
        <v>3.1569156031244003</v>
      </c>
      <c r="I72" s="53">
        <f>100*LN('Stock Price'!D72/'Stock Price'!D73)-$E72</f>
        <v>0.28208021288947732</v>
      </c>
      <c r="J72" s="53">
        <f>100*LN('Stock Price'!E72/'Stock Price'!E73)-$E72</f>
        <v>-5.7317712198717459</v>
      </c>
    </row>
    <row r="73" spans="1:10" x14ac:dyDescent="0.35">
      <c r="A73" s="50">
        <v>20150717</v>
      </c>
      <c r="B73" s="50">
        <v>2.27</v>
      </c>
      <c r="C73" s="50">
        <v>-1.44</v>
      </c>
      <c r="D73" s="50">
        <v>-1.71</v>
      </c>
      <c r="E73" s="50">
        <v>0</v>
      </c>
      <c r="F73" s="51">
        <v>42198</v>
      </c>
      <c r="G73" s="53">
        <f>100*LN('Stock Price'!B73/'Stock Price'!B74)-$E73</f>
        <v>4.1449242400482307</v>
      </c>
      <c r="H73" s="53">
        <f>100*LN('Stock Price'!C73/'Stock Price'!C74)-$E73</f>
        <v>2.3245604116776373</v>
      </c>
      <c r="I73" s="53">
        <f>100*LN('Stock Price'!D73/'Stock Price'!D74)-$E73</f>
        <v>12.393489967171822</v>
      </c>
      <c r="J73" s="53">
        <f>100*LN('Stock Price'!E73/'Stock Price'!E74)-$E73</f>
        <v>-1.1436304676603599</v>
      </c>
    </row>
    <row r="74" spans="1:10" x14ac:dyDescent="0.35">
      <c r="A74" s="50">
        <v>20150710</v>
      </c>
      <c r="B74" s="50">
        <v>-0.02</v>
      </c>
      <c r="C74" s="50">
        <v>0.12</v>
      </c>
      <c r="D74" s="50">
        <v>-1.33</v>
      </c>
      <c r="E74" s="50">
        <v>0</v>
      </c>
      <c r="F74" s="51">
        <v>42191</v>
      </c>
      <c r="G74" s="53">
        <f>100*LN('Stock Price'!B74/'Stock Price'!B75)-$E74</f>
        <v>-4.0509728897520914</v>
      </c>
      <c r="H74" s="53">
        <f>100*LN('Stock Price'!C74/'Stock Price'!C75)-$E74</f>
        <v>4.7150190401755419</v>
      </c>
      <c r="I74" s="53">
        <f>100*LN('Stock Price'!D74/'Stock Price'!D75)-$E74</f>
        <v>-0.57056793483997625</v>
      </c>
      <c r="J74" s="53">
        <f>100*LN('Stock Price'!E74/'Stock Price'!E75)-$E74</f>
        <v>-3.6773695318984196</v>
      </c>
    </row>
    <row r="75" spans="1:10" x14ac:dyDescent="0.35">
      <c r="A75" s="50">
        <v>20150702</v>
      </c>
      <c r="B75" s="50">
        <v>-1.33</v>
      </c>
      <c r="C75" s="50">
        <v>-1.56</v>
      </c>
      <c r="D75" s="50">
        <v>-0.7</v>
      </c>
      <c r="E75" s="50">
        <v>0</v>
      </c>
      <c r="F75" s="51">
        <v>42184</v>
      </c>
      <c r="G75" s="53">
        <f>100*LN('Stock Price'!B75/'Stock Price'!B76)-$E75</f>
        <v>-1.0947113530462367</v>
      </c>
      <c r="H75" s="53">
        <f>100*LN('Stock Price'!C75/'Stock Price'!C76)-$E75</f>
        <v>1.1363678369542618</v>
      </c>
      <c r="I75" s="53">
        <f>100*LN('Stock Price'!D75/'Stock Price'!D76)-$E75</f>
        <v>1.3477284803730232</v>
      </c>
      <c r="J75" s="53">
        <f>100*LN('Stock Price'!E75/'Stock Price'!E76)-$E75</f>
        <v>-3.9815717853901589</v>
      </c>
    </row>
    <row r="76" spans="1:10" x14ac:dyDescent="0.35">
      <c r="A76" s="50">
        <v>20150626</v>
      </c>
      <c r="B76" s="50">
        <v>-0.35</v>
      </c>
      <c r="C76" s="50">
        <v>0.35</v>
      </c>
      <c r="D76" s="50">
        <v>0.63</v>
      </c>
      <c r="E76" s="50">
        <v>0</v>
      </c>
      <c r="F76" s="51">
        <v>42177</v>
      </c>
      <c r="G76" s="53">
        <f>100*LN('Stock Price'!B76/'Stock Price'!B77)-$E76</f>
        <v>-0.5660014141222196</v>
      </c>
      <c r="H76" s="53">
        <f>100*LN('Stock Price'!C76/'Stock Price'!C77)-$E76</f>
        <v>2.4186220419987561</v>
      </c>
      <c r="I76" s="53">
        <f>100*LN('Stock Price'!D76/'Stock Price'!D77)-$E76</f>
        <v>0.59538919011246427</v>
      </c>
      <c r="J76" s="53">
        <f>100*LN('Stock Price'!E76/'Stock Price'!E77)-$E76</f>
        <v>-2.5488103907614161</v>
      </c>
    </row>
    <row r="77" spans="1:10" x14ac:dyDescent="0.35">
      <c r="A77" s="50">
        <v>20150619</v>
      </c>
      <c r="B77" s="50">
        <v>0.83</v>
      </c>
      <c r="C77" s="50">
        <v>0.71</v>
      </c>
      <c r="D77" s="50">
        <v>-1.37</v>
      </c>
      <c r="E77" s="50">
        <v>0</v>
      </c>
      <c r="F77" s="51">
        <v>42170</v>
      </c>
      <c r="G77" s="53">
        <f>100*LN('Stock Price'!B77/'Stock Price'!B78)-$E77</f>
        <v>5.5726951583545103</v>
      </c>
      <c r="H77" s="53">
        <f>100*LN('Stock Price'!C77/'Stock Price'!C78)-$E77</f>
        <v>-0.15953142572469509</v>
      </c>
      <c r="I77" s="53">
        <f>100*LN('Stock Price'!D77/'Stock Price'!D78)-$E77</f>
        <v>5.1643582921560478</v>
      </c>
      <c r="J77" s="53">
        <f>100*LN('Stock Price'!E77/'Stock Price'!E78)-$E77</f>
        <v>4.7623050972472143</v>
      </c>
    </row>
    <row r="78" spans="1:10" x14ac:dyDescent="0.35">
      <c r="A78" s="50">
        <v>20150612</v>
      </c>
      <c r="B78" s="50">
        <v>0.11</v>
      </c>
      <c r="C78" s="50">
        <v>0.09</v>
      </c>
      <c r="D78" s="50">
        <v>0.57999999999999996</v>
      </c>
      <c r="E78" s="50">
        <v>0</v>
      </c>
      <c r="F78" s="51">
        <v>42163</v>
      </c>
      <c r="G78" s="53">
        <f>100*LN('Stock Price'!B78/'Stock Price'!B79)-$E78</f>
        <v>0.234346972672243</v>
      </c>
      <c r="H78" s="53">
        <f>100*LN('Stock Price'!C78/'Stock Price'!C79)-$E78</f>
        <v>0.90740416385975065</v>
      </c>
      <c r="I78" s="53">
        <f>100*LN('Stock Price'!D78/'Stock Price'!D79)-$E78</f>
        <v>0.54044357565388002</v>
      </c>
      <c r="J78" s="53">
        <f>100*LN('Stock Price'!E78/'Stock Price'!E79)-$E78</f>
        <v>-0.21092595120809329</v>
      </c>
    </row>
    <row r="79" spans="1:10" x14ac:dyDescent="0.35">
      <c r="A79" s="50">
        <v>20150605</v>
      </c>
      <c r="B79" s="50">
        <v>-0.28999999999999998</v>
      </c>
      <c r="C79" s="50">
        <v>1.83</v>
      </c>
      <c r="D79" s="50">
        <v>-0.11</v>
      </c>
      <c r="E79" s="50">
        <v>0</v>
      </c>
      <c r="F79" s="51">
        <v>42156</v>
      </c>
      <c r="G79" s="53">
        <f>100*LN('Stock Price'!B79/'Stock Price'!B80)-$E79</f>
        <v>-2.3266655169170347</v>
      </c>
      <c r="H79" s="53">
        <f>100*LN('Stock Price'!C79/'Stock Price'!C80)-$E79</f>
        <v>0.48374539120624188</v>
      </c>
      <c r="I79" s="53">
        <f>100*LN('Stock Price'!D79/'Stock Price'!D80)-$E79</f>
        <v>-3.3046184757165022</v>
      </c>
      <c r="J79" s="53">
        <f>100*LN('Stock Price'!E79/'Stock Price'!E80)-$E79</f>
        <v>-3.4582571864805893</v>
      </c>
    </row>
    <row r="80" spans="1:10" x14ac:dyDescent="0.35">
      <c r="A80" s="50">
        <v>20150529</v>
      </c>
      <c r="B80" s="50">
        <v>-0.79</v>
      </c>
      <c r="C80" s="50">
        <v>0.44</v>
      </c>
      <c r="D80" s="50">
        <v>-0.15</v>
      </c>
      <c r="E80" s="50">
        <v>0</v>
      </c>
      <c r="F80" s="51">
        <v>42150</v>
      </c>
      <c r="G80" s="53">
        <f>100*LN('Stock Price'!B80/'Stock Price'!B81)-$E80</f>
        <v>-0.42480062777981842</v>
      </c>
      <c r="H80" s="53">
        <f>100*LN('Stock Price'!C80/'Stock Price'!C81)-$E80</f>
        <v>0.7571648050350015</v>
      </c>
      <c r="I80" s="53">
        <f>100*LN('Stock Price'!D80/'Stock Price'!D81)-$E80</f>
        <v>-1.4315032235602054</v>
      </c>
      <c r="J80" s="53">
        <f>100*LN('Stock Price'!E80/'Stock Price'!E81)-$E80</f>
        <v>1.4970013295395521</v>
      </c>
    </row>
    <row r="81" spans="1:10" x14ac:dyDescent="0.35">
      <c r="A81" s="50">
        <v>20150522</v>
      </c>
      <c r="B81" s="50">
        <v>0.32</v>
      </c>
      <c r="C81" s="50">
        <v>0.43</v>
      </c>
      <c r="D81" s="50">
        <v>-0.11</v>
      </c>
      <c r="E81" s="50">
        <v>0</v>
      </c>
      <c r="F81" s="51">
        <v>42142</v>
      </c>
      <c r="G81" s="53">
        <f>100*LN('Stock Price'!B81/'Stock Price'!B82)-$E81</f>
        <v>1.8837915678781187</v>
      </c>
      <c r="H81" s="53">
        <f>100*LN('Stock Price'!C81/'Stock Price'!C82)-$E81</f>
        <v>-0.32519675293175276</v>
      </c>
      <c r="I81" s="53">
        <f>100*LN('Stock Price'!D81/'Stock Price'!D82)-$E81</f>
        <v>0.48354900547515711</v>
      </c>
      <c r="J81" s="53">
        <f>100*LN('Stock Price'!E81/'Stock Price'!E82)-$E81</f>
        <v>-1.0276574770049891</v>
      </c>
    </row>
    <row r="82" spans="1:10" x14ac:dyDescent="0.35">
      <c r="A82" s="50">
        <v>20150515</v>
      </c>
      <c r="B82" s="50">
        <v>0.41</v>
      </c>
      <c r="C82" s="50">
        <v>0.32</v>
      </c>
      <c r="D82" s="50">
        <v>-0.47</v>
      </c>
      <c r="E82" s="50">
        <v>0</v>
      </c>
      <c r="F82" s="51">
        <v>42135</v>
      </c>
      <c r="G82" s="53">
        <f>100*LN('Stock Price'!B82/'Stock Price'!B83)-$E82</f>
        <v>-1.8210649648777686</v>
      </c>
      <c r="H82" s="53">
        <f>100*LN('Stock Price'!C82/'Stock Price'!C83)-$E82</f>
        <v>0.10710701557886931</v>
      </c>
      <c r="I82" s="53">
        <f>100*LN('Stock Price'!D82/'Stock Price'!D83)-$E82</f>
        <v>2.0285735582290707</v>
      </c>
      <c r="J82" s="53">
        <f>100*LN('Stock Price'!E82/'Stock Price'!E83)-$E82</f>
        <v>0.59044865706750282</v>
      </c>
    </row>
    <row r="83" spans="1:10" x14ac:dyDescent="0.35">
      <c r="A83" s="50">
        <v>20150508</v>
      </c>
      <c r="B83" s="50">
        <v>0.41</v>
      </c>
      <c r="C83" s="50">
        <v>-0.04</v>
      </c>
      <c r="D83" s="50">
        <v>0.1</v>
      </c>
      <c r="E83" s="50">
        <v>0</v>
      </c>
      <c r="F83" s="51">
        <v>42128</v>
      </c>
      <c r="G83" s="53">
        <f>100*LN('Stock Price'!B83/'Stock Price'!B84)-$E83</f>
        <v>3.1124648629533289</v>
      </c>
      <c r="H83" s="53">
        <f>100*LN('Stock Price'!C83/'Stock Price'!C84)-$E83</f>
        <v>-0.10798415354784863</v>
      </c>
      <c r="I83" s="53">
        <f>100*LN('Stock Price'!D83/'Stock Price'!D84)-$E83</f>
        <v>2.3776557816378965</v>
      </c>
      <c r="J83" s="53">
        <f>100*LN('Stock Price'!E83/'Stock Price'!E84)-$E83</f>
        <v>0.77901449819314805</v>
      </c>
    </row>
    <row r="84" spans="1:10" x14ac:dyDescent="0.35">
      <c r="A84" s="50">
        <v>20150501</v>
      </c>
      <c r="B84" s="50">
        <v>-0.77</v>
      </c>
      <c r="C84" s="50">
        <v>-2.61</v>
      </c>
      <c r="D84" s="50">
        <v>2.41</v>
      </c>
      <c r="E84" s="50">
        <v>0</v>
      </c>
      <c r="F84" s="51">
        <v>42121</v>
      </c>
      <c r="G84" s="53">
        <f>100*LN('Stock Price'!B84/'Stock Price'!B85)-$E84</f>
        <v>-3.9323254969032897</v>
      </c>
      <c r="H84" s="53">
        <f>100*LN('Stock Price'!C84/'Stock Price'!C85)-$E84</f>
        <v>-1.4465761741530601</v>
      </c>
      <c r="I84" s="53">
        <f>100*LN('Stock Price'!D84/'Stock Price'!D85)-$E84</f>
        <v>-7.1215601201055359</v>
      </c>
      <c r="J84" s="53">
        <f>100*LN('Stock Price'!E84/'Stock Price'!E85)-$E84</f>
        <v>2.6273369648369864</v>
      </c>
    </row>
    <row r="85" spans="1:10" x14ac:dyDescent="0.35">
      <c r="A85" s="50">
        <v>20150424</v>
      </c>
      <c r="B85" s="50">
        <v>1.77</v>
      </c>
      <c r="C85" s="50">
        <v>-0.22</v>
      </c>
      <c r="D85" s="50">
        <v>-1.35</v>
      </c>
      <c r="E85" s="50">
        <v>1E-3</v>
      </c>
      <c r="F85" s="51">
        <v>42114</v>
      </c>
      <c r="G85" s="53">
        <f>100*LN('Stock Price'!B85/'Stock Price'!B86)-$E85</f>
        <v>-4.3200080181729366</v>
      </c>
      <c r="H85" s="53">
        <f>100*LN('Stock Price'!C85/'Stock Price'!C86)-$E85</f>
        <v>3.7934820213191602</v>
      </c>
      <c r="I85" s="53">
        <f>100*LN('Stock Price'!D85/'Stock Price'!D86)-$E85</f>
        <v>4.5135042025752279</v>
      </c>
      <c r="J85" s="53">
        <f>100*LN('Stock Price'!E85/'Stock Price'!E86)-$E85</f>
        <v>-3.8759279399427684</v>
      </c>
    </row>
    <row r="86" spans="1:10" x14ac:dyDescent="0.35">
      <c r="A86" s="50">
        <v>20150417</v>
      </c>
      <c r="B86" s="50">
        <v>-1.02</v>
      </c>
      <c r="C86" s="50">
        <v>0</v>
      </c>
      <c r="D86" s="50">
        <v>0.72</v>
      </c>
      <c r="E86" s="50">
        <v>1E-3</v>
      </c>
      <c r="F86" s="51">
        <v>42107</v>
      </c>
      <c r="G86" s="53">
        <f>100*LN('Stock Price'!B86/'Stock Price'!B87)-$E86</f>
        <v>-1.4706905201437848</v>
      </c>
      <c r="H86" s="53">
        <f>100*LN('Stock Price'!C86/'Stock Price'!C87)-$E86</f>
        <v>-1.0999112681746075</v>
      </c>
      <c r="I86" s="53">
        <f>100*LN('Stock Price'!D86/'Stock Price'!D87)-$E86</f>
        <v>-3.1243552875780929</v>
      </c>
      <c r="J86" s="53">
        <f>100*LN('Stock Price'!E86/'Stock Price'!E87)-$E86</f>
        <v>-1.613935542024477</v>
      </c>
    </row>
    <row r="87" spans="1:10" x14ac:dyDescent="0.35">
      <c r="A87" s="50">
        <v>20150410</v>
      </c>
      <c r="B87" s="50">
        <v>1.67</v>
      </c>
      <c r="C87" s="50">
        <v>-0.71</v>
      </c>
      <c r="D87" s="50">
        <v>-1.35</v>
      </c>
      <c r="E87" s="50">
        <v>1E-3</v>
      </c>
      <c r="F87" s="51">
        <v>42100</v>
      </c>
      <c r="G87" s="53">
        <f>100*LN('Stock Price'!B87/'Stock Price'!B88)-$E87</f>
        <v>3.1516652735044617</v>
      </c>
      <c r="H87" s="53">
        <f>100*LN('Stock Price'!C87/'Stock Price'!C88)-$E87</f>
        <v>-5.5623459794476408E-2</v>
      </c>
      <c r="I87" s="53">
        <f>100*LN('Stock Price'!D87/'Stock Price'!D88)-$E87</f>
        <v>2.3848007950176187</v>
      </c>
      <c r="J87" s="53">
        <f>100*LN('Stock Price'!E87/'Stock Price'!E88)-$E87</f>
        <v>3.7068965757629604</v>
      </c>
    </row>
    <row r="88" spans="1:10" x14ac:dyDescent="0.35">
      <c r="A88" s="50">
        <v>20150402</v>
      </c>
      <c r="B88" s="50">
        <v>0.45</v>
      </c>
      <c r="C88" s="50">
        <v>0.7</v>
      </c>
      <c r="D88" s="50">
        <v>1.06</v>
      </c>
      <c r="E88" s="50">
        <v>1E-3</v>
      </c>
      <c r="F88" s="51">
        <v>42093</v>
      </c>
      <c r="G88" s="53">
        <f>100*LN('Stock Price'!B88/'Stock Price'!B89)-$E88</f>
        <v>-4.1402080266264738</v>
      </c>
      <c r="H88" s="53">
        <f>100*LN('Stock Price'!C88/'Stock Price'!C89)-$E88</f>
        <v>1.5400186018578639</v>
      </c>
      <c r="I88" s="53">
        <f>100*LN('Stock Price'!D88/'Stock Price'!D89)-$E88</f>
        <v>-3.7526756881216272</v>
      </c>
      <c r="J88" s="53">
        <f>100*LN('Stock Price'!E88/'Stock Price'!E89)-$E88</f>
        <v>-2.1162815998223135</v>
      </c>
    </row>
    <row r="89" spans="1:10" x14ac:dyDescent="0.35">
      <c r="A89" s="50">
        <v>20150327</v>
      </c>
      <c r="B89" s="50">
        <v>-2.16</v>
      </c>
      <c r="C89" s="50">
        <v>0.4</v>
      </c>
      <c r="D89" s="50">
        <v>0.24</v>
      </c>
      <c r="E89" s="50">
        <v>0</v>
      </c>
      <c r="F89" s="51">
        <v>42086</v>
      </c>
      <c r="G89" s="53">
        <f>100*LN('Stock Price'!B89/'Stock Price'!B90)-$E89</f>
        <v>-10.189303388698336</v>
      </c>
      <c r="H89" s="53">
        <f>100*LN('Stock Price'!C89/'Stock Price'!C90)-$E89</f>
        <v>3.0407831488435968</v>
      </c>
      <c r="I89" s="53">
        <f>100*LN('Stock Price'!D89/'Stock Price'!D90)-$E89</f>
        <v>-7.9498108912653356</v>
      </c>
      <c r="J89" s="53">
        <f>100*LN('Stock Price'!E89/'Stock Price'!E90)-$E89</f>
        <v>-3.3176468821597354</v>
      </c>
    </row>
    <row r="90" spans="1:10" x14ac:dyDescent="0.35">
      <c r="A90" s="50">
        <v>20150320</v>
      </c>
      <c r="B90" s="50">
        <v>2.59</v>
      </c>
      <c r="C90" s="50">
        <v>0.03</v>
      </c>
      <c r="D90" s="50">
        <v>-1.02</v>
      </c>
      <c r="E90" s="50">
        <v>0</v>
      </c>
      <c r="F90" s="51">
        <v>42079</v>
      </c>
      <c r="G90" s="53">
        <f>100*LN('Stock Price'!B90/'Stock Price'!B91)-$E90</f>
        <v>14.108115343795276</v>
      </c>
      <c r="H90" s="53">
        <f>100*LN('Stock Price'!C90/'Stock Price'!C91)-$E90</f>
        <v>1.3817099189616202</v>
      </c>
      <c r="I90" s="53">
        <f>100*LN('Stock Price'!D90/'Stock Price'!D91)-$E90</f>
        <v>8.7535011763134296</v>
      </c>
      <c r="J90" s="53">
        <f>100*LN('Stock Price'!E90/'Stock Price'!E91)-$E90</f>
        <v>2.6896680310996497</v>
      </c>
    </row>
    <row r="91" spans="1:10" x14ac:dyDescent="0.35">
      <c r="A91" s="50">
        <v>20150313</v>
      </c>
      <c r="B91" s="50">
        <v>-0.61</v>
      </c>
      <c r="C91" s="50">
        <v>1.68</v>
      </c>
      <c r="D91" s="50">
        <v>0.5</v>
      </c>
      <c r="E91" s="50">
        <v>0</v>
      </c>
      <c r="F91" s="51">
        <v>42072</v>
      </c>
      <c r="G91" s="53">
        <f>100*LN('Stock Price'!B91/'Stock Price'!B92)-$E91</f>
        <v>-1.0301178826677189</v>
      </c>
      <c r="H91" s="53">
        <f>100*LN('Stock Price'!C91/'Stock Price'!C92)-$E91</f>
        <v>3.6002790259592352</v>
      </c>
      <c r="I91" s="53">
        <f>100*LN('Stock Price'!D91/'Stock Price'!D92)-$E91</f>
        <v>-0.25449283964150865</v>
      </c>
      <c r="J91" s="53">
        <f>100*LN('Stock Price'!E91/'Stock Price'!E92)-$E91</f>
        <v>-2.4534948353457957</v>
      </c>
    </row>
    <row r="92" spans="1:10" x14ac:dyDescent="0.35">
      <c r="A92" s="50">
        <v>20150306</v>
      </c>
      <c r="B92" s="50">
        <v>-1.36</v>
      </c>
      <c r="C92" s="50">
        <v>0.59</v>
      </c>
      <c r="D92" s="50">
        <v>-0.53</v>
      </c>
      <c r="E92" s="50">
        <v>0</v>
      </c>
      <c r="F92" s="51">
        <v>42065</v>
      </c>
      <c r="G92" s="53">
        <f>100*LN('Stock Price'!B92/'Stock Price'!B93)-$E92</f>
        <v>1.9439235441999034</v>
      </c>
      <c r="H92" s="53">
        <f>100*LN('Stock Price'!C92/'Stock Price'!C93)-$E92</f>
        <v>2.5564410944150979</v>
      </c>
      <c r="I92" s="53">
        <f>100*LN('Stock Price'!D92/'Stock Price'!D93)-$E92</f>
        <v>-2.9222316685732537</v>
      </c>
      <c r="J92" s="53">
        <f>100*LN('Stock Price'!E92/'Stock Price'!E93)-$E92</f>
        <v>-1.0194218271309339</v>
      </c>
    </row>
    <row r="93" spans="1:10" x14ac:dyDescent="0.35">
      <c r="A93" s="50">
        <v>20150227</v>
      </c>
      <c r="B93" s="50">
        <v>-0.19</v>
      </c>
      <c r="C93" s="50">
        <v>0.65</v>
      </c>
      <c r="D93" s="50">
        <v>-0.46</v>
      </c>
      <c r="E93" s="50">
        <v>0</v>
      </c>
      <c r="F93" s="51">
        <v>42058</v>
      </c>
      <c r="G93" s="53">
        <f>100*LN('Stock Price'!B93/'Stock Price'!B94)-$E93</f>
        <v>0.37669630918157682</v>
      </c>
      <c r="H93" s="53">
        <f>100*LN('Stock Price'!C93/'Stock Price'!C94)-$E93</f>
        <v>-1.1645919119358148</v>
      </c>
      <c r="I93" s="53">
        <f>100*LN('Stock Price'!D93/'Stock Price'!D94)-$E93</f>
        <v>-1.5513056101549454</v>
      </c>
      <c r="J93" s="53">
        <f>100*LN('Stock Price'!E93/'Stock Price'!E94)-$E93</f>
        <v>0.66536674086365255</v>
      </c>
    </row>
    <row r="94" spans="1:10" x14ac:dyDescent="0.35">
      <c r="A94" s="50">
        <v>20150220</v>
      </c>
      <c r="B94" s="50">
        <v>0.8</v>
      </c>
      <c r="C94" s="50">
        <v>0.15</v>
      </c>
      <c r="D94" s="50">
        <v>-1.41</v>
      </c>
      <c r="E94" s="50">
        <v>0</v>
      </c>
      <c r="F94" s="51">
        <v>42052</v>
      </c>
      <c r="G94" s="53">
        <f>100*LN('Stock Price'!B94/'Stock Price'!B95)-$E94</f>
        <v>4.0995559805460431</v>
      </c>
      <c r="H94" s="53">
        <f>100*LN('Stock Price'!C94/'Stock Price'!C95)-$E94</f>
        <v>-1.5119673969401808</v>
      </c>
      <c r="I94" s="53">
        <f>100*LN('Stock Price'!D94/'Stock Price'!D95)-$E94</f>
        <v>6.3119046743538521</v>
      </c>
      <c r="J94" s="53">
        <f>100*LN('Stock Price'!E94/'Stock Price'!E95)-$E94</f>
        <v>1.1393927751564141</v>
      </c>
    </row>
    <row r="95" spans="1:10" x14ac:dyDescent="0.35">
      <c r="A95" s="50">
        <v>20150213</v>
      </c>
      <c r="B95" s="50">
        <v>2.1</v>
      </c>
      <c r="C95" s="50">
        <v>-0.45</v>
      </c>
      <c r="D95" s="50">
        <v>-1.29</v>
      </c>
      <c r="E95" s="50">
        <v>0</v>
      </c>
      <c r="F95" s="51">
        <v>42044</v>
      </c>
      <c r="G95" s="53">
        <f>100*LN('Stock Price'!B95/'Stock Price'!B96)-$E95</f>
        <v>-2.6057961917390928</v>
      </c>
      <c r="H95" s="53">
        <f>100*LN('Stock Price'!C95/'Stock Price'!C96)-$E95</f>
        <v>-0.23873385985079626</v>
      </c>
      <c r="I95" s="53">
        <f>100*LN('Stock Price'!D95/'Stock Price'!D96)-$E95</f>
        <v>-2.446529590245174</v>
      </c>
      <c r="J95" s="53">
        <f>100*LN('Stock Price'!E95/'Stock Price'!E96)-$E95</f>
        <v>4.1676884916816697</v>
      </c>
    </row>
    <row r="96" spans="1:10" x14ac:dyDescent="0.35">
      <c r="A96" s="50">
        <v>20150206</v>
      </c>
      <c r="B96" s="50">
        <v>3.32</v>
      </c>
      <c r="C96" s="50">
        <v>0.19</v>
      </c>
      <c r="D96" s="50">
        <v>1.55</v>
      </c>
      <c r="E96" s="50">
        <v>0</v>
      </c>
      <c r="F96" s="51">
        <v>42037</v>
      </c>
      <c r="G96" s="53">
        <f>100*LN('Stock Price'!B96/'Stock Price'!B97)-$E96</f>
        <v>3.24615082332455</v>
      </c>
      <c r="H96" s="53">
        <f>100*LN('Stock Price'!C96/'Stock Price'!C97)-$E96</f>
        <v>4.706029863367907</v>
      </c>
      <c r="I96" s="53">
        <f>100*LN('Stock Price'!D96/'Stock Price'!D97)-$E96</f>
        <v>-0.34467184986419119</v>
      </c>
      <c r="J96" s="53">
        <f>100*LN('Stock Price'!E96/'Stock Price'!E97)-$E96</f>
        <v>7.556402966433458</v>
      </c>
    </row>
    <row r="97" spans="1:10" x14ac:dyDescent="0.35">
      <c r="A97" s="50">
        <v>20150130</v>
      </c>
      <c r="B97" s="50">
        <v>-2.5</v>
      </c>
      <c r="C97" s="50">
        <v>0.6</v>
      </c>
      <c r="D97" s="50">
        <v>-0.55000000000000004</v>
      </c>
      <c r="E97" s="50">
        <v>0</v>
      </c>
      <c r="F97" s="51">
        <v>42030</v>
      </c>
      <c r="G97" s="53">
        <f>100*LN('Stock Price'!B97/'Stock Price'!B98)-$E97</f>
        <v>8.4771308485522852</v>
      </c>
      <c r="H97" s="53">
        <f>100*LN('Stock Price'!C97/'Stock Price'!C98)-$E97</f>
        <v>-4.1672676882228794</v>
      </c>
      <c r="I97" s="53">
        <f>100*LN('Stock Price'!D97/'Stock Price'!D98)-$E97</f>
        <v>-3.8926905642578467</v>
      </c>
      <c r="J97" s="53">
        <f>100*LN('Stock Price'!E97/'Stock Price'!E98)-$E97</f>
        <v>-3.1000181302476717</v>
      </c>
    </row>
    <row r="98" spans="1:10" x14ac:dyDescent="0.35">
      <c r="A98" s="50">
        <v>20150123</v>
      </c>
      <c r="B98" s="50">
        <v>1.64</v>
      </c>
      <c r="C98" s="50">
        <v>-0.69</v>
      </c>
      <c r="D98" s="50">
        <v>-0.42</v>
      </c>
      <c r="E98" s="50">
        <v>0</v>
      </c>
      <c r="F98" s="51">
        <v>42024</v>
      </c>
      <c r="G98" s="53">
        <f>100*LN('Stock Price'!B98/'Stock Price'!B99)-$E98</f>
        <v>1.3459681167329329</v>
      </c>
      <c r="H98" s="53">
        <f>100*LN('Stock Price'!C98/'Stock Price'!C99)-$E98</f>
        <v>2.0006792973592886</v>
      </c>
      <c r="I98" s="53">
        <f>100*LN('Stock Price'!D98/'Stock Price'!D99)-$E98</f>
        <v>1.6931629763116816</v>
      </c>
      <c r="J98" s="53">
        <f>100*LN('Stock Price'!E98/'Stock Price'!E99)-$E98</f>
        <v>3.6781780756679323</v>
      </c>
    </row>
    <row r="99" spans="1:10" x14ac:dyDescent="0.35">
      <c r="A99" s="50">
        <v>20150116</v>
      </c>
      <c r="B99" s="50">
        <v>-1.32</v>
      </c>
      <c r="C99" s="50">
        <v>0.43</v>
      </c>
      <c r="D99" s="50">
        <v>-0.3</v>
      </c>
      <c r="E99" s="50">
        <v>0</v>
      </c>
      <c r="F99" s="51">
        <v>42016</v>
      </c>
      <c r="G99" s="53">
        <f>100*LN('Stock Price'!B99/'Stock Price'!B100)-$E99</f>
        <v>2.9955207149695822</v>
      </c>
      <c r="H99" s="53">
        <f>100*LN('Stock Price'!C99/'Stock Price'!C100)-$E99</f>
        <v>-3.7853787319849714</v>
      </c>
      <c r="I99" s="53">
        <f>100*LN('Stock Price'!D99/'Stock Price'!D100)-$E99</f>
        <v>6.9162941189027078</v>
      </c>
      <c r="J99" s="53">
        <f>100*LN('Stock Price'!E99/'Stock Price'!E100)-$E99</f>
        <v>0.71620072291248427</v>
      </c>
    </row>
    <row r="100" spans="1:10" x14ac:dyDescent="0.35">
      <c r="A100" s="50">
        <v>20150109</v>
      </c>
      <c r="B100" s="50">
        <v>-0.78</v>
      </c>
      <c r="C100" s="50">
        <v>-0.36</v>
      </c>
      <c r="D100" s="50">
        <v>-2.31</v>
      </c>
      <c r="E100" s="50">
        <v>0</v>
      </c>
      <c r="F100" s="51">
        <v>42009</v>
      </c>
      <c r="G100" s="53">
        <f>100*LN('Stock Price'!B100/'Stock Price'!B101)-$E100</f>
        <v>9.643779431034552E-2</v>
      </c>
      <c r="H100" s="53">
        <f>100*LN('Stock Price'!C100/'Stock Price'!C101)-$E100</f>
        <v>-1.0557283226476404</v>
      </c>
      <c r="I100" s="53">
        <f>100*LN('Stock Price'!D100/'Stock Price'!D101)-$E100</f>
        <v>0.13204896791013868</v>
      </c>
      <c r="J100" s="53">
        <f>100*LN('Stock Price'!E100/'Stock Price'!E101)-$E100</f>
        <v>-0.78308097275653532</v>
      </c>
    </row>
    <row r="101" spans="1:10" x14ac:dyDescent="0.35">
      <c r="A101" s="50">
        <v>20150102</v>
      </c>
      <c r="B101" s="50">
        <v>-1.38</v>
      </c>
      <c r="C101" s="50">
        <v>0.1</v>
      </c>
      <c r="D101" s="50">
        <v>0.56000000000000005</v>
      </c>
      <c r="E101" s="50">
        <v>0</v>
      </c>
      <c r="F101" s="51">
        <v>42002</v>
      </c>
      <c r="G101" s="53">
        <f>100*LN('Stock Price'!B101/'Stock Price'!B102)-$E101</f>
        <v>-0.11396211040982401</v>
      </c>
      <c r="H101" s="53">
        <f>100*LN('Stock Price'!C101/'Stock Price'!C102)-$E101</f>
        <v>-2.0214415490722506</v>
      </c>
      <c r="I101" s="53">
        <f>100*LN('Stock Price'!D101/'Stock Price'!D102)-$E101</f>
        <v>0.14986471156518549</v>
      </c>
      <c r="J101" s="53">
        <f>100*LN('Stock Price'!E101/'Stock Price'!E102)-$E101</f>
        <v>-1.8547698819872238</v>
      </c>
    </row>
    <row r="102" spans="1:10" x14ac:dyDescent="0.35">
      <c r="A102" s="50">
        <v>20141226</v>
      </c>
      <c r="B102" s="50">
        <v>1.03</v>
      </c>
      <c r="C102" s="50">
        <v>0.64</v>
      </c>
      <c r="D102" s="50">
        <v>0.54</v>
      </c>
      <c r="E102" s="50">
        <v>0</v>
      </c>
      <c r="F102" s="51">
        <v>41995</v>
      </c>
      <c r="G102" s="53">
        <f>100*LN('Stock Price'!B102/'Stock Price'!B103)-$E102</f>
        <v>-5.1983822139592357</v>
      </c>
      <c r="H102" s="53">
        <f>100*LN('Stock Price'!C102/'Stock Price'!C103)-$E102</f>
        <v>3.3724146204455305</v>
      </c>
      <c r="I102" s="53">
        <f>100*LN('Stock Price'!D102/'Stock Price'!D103)-$E102</f>
        <v>-3.323085480756887</v>
      </c>
      <c r="J102" s="53">
        <f>100*LN('Stock Price'!E102/'Stock Price'!E103)-$E102</f>
        <v>0.94516885833402009</v>
      </c>
    </row>
    <row r="103" spans="1:10" x14ac:dyDescent="0.35">
      <c r="A103" s="50">
        <v>20141219</v>
      </c>
      <c r="B103" s="50">
        <v>3.47</v>
      </c>
      <c r="C103" s="50">
        <v>0.14000000000000001</v>
      </c>
      <c r="D103" s="50">
        <v>0.56000000000000005</v>
      </c>
      <c r="E103" s="50">
        <v>0</v>
      </c>
      <c r="F103" s="51">
        <v>41988</v>
      </c>
      <c r="G103" s="53">
        <f>100*LN('Stock Price'!B103/'Stock Price'!B104)-$E103</f>
        <v>4.5898415456026438</v>
      </c>
      <c r="H103" s="53">
        <f>100*LN('Stock Price'!C103/'Stock Price'!C104)-$E103</f>
        <v>2.6972030111222058</v>
      </c>
      <c r="I103" s="53">
        <f>100*LN('Stock Price'!D103/'Stock Price'!D104)-$E103</f>
        <v>2.3223748649696345</v>
      </c>
      <c r="J103" s="53">
        <f>100*LN('Stock Price'!E103/'Stock Price'!E104)-$E103</f>
        <v>3.5517307810265115</v>
      </c>
    </row>
    <row r="104" spans="1:10" x14ac:dyDescent="0.35">
      <c r="A104" s="50">
        <v>20141212</v>
      </c>
      <c r="B104" s="50">
        <v>-3.44</v>
      </c>
      <c r="C104" s="50">
        <v>0.89</v>
      </c>
      <c r="D104" s="50">
        <v>-0.85</v>
      </c>
      <c r="E104" s="50">
        <v>0</v>
      </c>
      <c r="F104" s="51">
        <v>41981</v>
      </c>
      <c r="G104" s="53">
        <f>100*LN('Stock Price'!B104/'Stock Price'!B105)-$E104</f>
        <v>1.0563875171442578</v>
      </c>
      <c r="H104" s="53">
        <f>100*LN('Stock Price'!C104/'Stock Price'!C105)-$E104</f>
        <v>-4.2230522633948029</v>
      </c>
      <c r="I104" s="53">
        <f>100*LN('Stock Price'!D104/'Stock Price'!D105)-$E104</f>
        <v>0.31493421872524435</v>
      </c>
      <c r="J104" s="53">
        <f>100*LN('Stock Price'!E104/'Stock Price'!E105)-$E104</f>
        <v>-5.7577840845159312</v>
      </c>
    </row>
    <row r="105" spans="1:10" x14ac:dyDescent="0.35">
      <c r="A105" s="50">
        <v>20141205</v>
      </c>
      <c r="B105" s="50">
        <v>0.28999999999999998</v>
      </c>
      <c r="C105" s="50">
        <v>0.16</v>
      </c>
      <c r="D105" s="50">
        <v>1.36</v>
      </c>
      <c r="E105" s="50">
        <v>0</v>
      </c>
      <c r="F105" s="51">
        <v>41974</v>
      </c>
      <c r="G105" s="53">
        <f>100*LN('Stock Price'!B105/'Stock Price'!B106)-$E105</f>
        <v>10.240836914393132</v>
      </c>
      <c r="H105" s="53">
        <f>100*LN('Stock Price'!C105/'Stock Price'!C106)-$E105</f>
        <v>1.1716576116068589</v>
      </c>
      <c r="I105" s="53">
        <f>100*LN('Stock Price'!D105/'Stock Price'!D106)-$E105</f>
        <v>0.38626595469820607</v>
      </c>
      <c r="J105" s="53">
        <f>100*LN('Stock Price'!E105/'Stock Price'!E106)-$E105</f>
        <v>2.4935580619123074</v>
      </c>
    </row>
    <row r="106" spans="1:10" x14ac:dyDescent="0.35">
      <c r="A106" s="1">
        <v>20141128</v>
      </c>
      <c r="B106" s="1">
        <v>0.26</v>
      </c>
      <c r="C106" s="1">
        <v>0.15</v>
      </c>
      <c r="D106" s="1">
        <v>-2.02</v>
      </c>
      <c r="E106" s="1">
        <v>0</v>
      </c>
      <c r="F106" s="54">
        <v>41967</v>
      </c>
      <c r="G106" s="55">
        <f>100*LN('Stock Price'!B106/'Stock Price'!B107)-$E106</f>
        <v>1.3546487068174649</v>
      </c>
      <c r="H106" s="55">
        <f>100*LN('Stock Price'!C106/'Stock Price'!C107)-$E106</f>
        <v>-2.5023029874740184</v>
      </c>
      <c r="I106" s="55">
        <f>100*LN('Stock Price'!D106/'Stock Price'!D107)-$E106</f>
        <v>4.9494125046763706</v>
      </c>
      <c r="J106" s="55">
        <f>100*LN('Stock Price'!E106/'Stock Price'!E107)-$E106</f>
        <v>3.0813322943134209</v>
      </c>
    </row>
    <row r="107" spans="1:10" x14ac:dyDescent="0.35">
      <c r="A107" s="1">
        <v>20141121</v>
      </c>
      <c r="B107" s="1">
        <v>1.05</v>
      </c>
      <c r="C107" s="1">
        <v>-1.39</v>
      </c>
      <c r="D107" s="1">
        <v>-0.24</v>
      </c>
      <c r="E107" s="1">
        <v>0</v>
      </c>
      <c r="F107" s="54">
        <v>41960</v>
      </c>
      <c r="G107" s="55">
        <f>100*LN('Stock Price'!B107/'Stock Price'!B108)-$E107</f>
        <v>-0.61742948244656093</v>
      </c>
      <c r="H107" s="55">
        <f>100*LN('Stock Price'!C107/'Stock Price'!C108)-$E107</f>
        <v>3.5686516878113661</v>
      </c>
      <c r="I107" s="55">
        <f>100*LN('Stock Price'!D107/'Stock Price'!D108)-$E107</f>
        <v>3.9109757014013029</v>
      </c>
      <c r="J107" s="55">
        <f>100*LN('Stock Price'!E107/'Stock Price'!E108)-$E107</f>
        <v>1.7780849295997059</v>
      </c>
    </row>
    <row r="108" spans="1:10" x14ac:dyDescent="0.35">
      <c r="A108" s="1">
        <v>20141114</v>
      </c>
      <c r="B108" s="1">
        <v>0.54</v>
      </c>
      <c r="C108" s="1">
        <v>-0.08</v>
      </c>
      <c r="D108" s="1">
        <v>-1.25</v>
      </c>
      <c r="E108" s="1">
        <v>0</v>
      </c>
      <c r="F108" s="54">
        <v>41953</v>
      </c>
      <c r="G108" s="55">
        <f>100*LN('Stock Price'!B108/'Stock Price'!B109)-$E108</f>
        <v>-4.8941406627040296</v>
      </c>
      <c r="H108" s="55">
        <f>100*LN('Stock Price'!C108/'Stock Price'!C109)-$E108</f>
        <v>-3.8522949998727873</v>
      </c>
      <c r="I108" s="55">
        <f>100*LN('Stock Price'!D108/'Stock Price'!D109)-$E108</f>
        <v>-2.280378148530767</v>
      </c>
      <c r="J108" s="55">
        <f>100*LN('Stock Price'!E108/'Stock Price'!E109)-$E108</f>
        <v>0.5086789237813425</v>
      </c>
    </row>
    <row r="109" spans="1:10" x14ac:dyDescent="0.35">
      <c r="A109" s="1">
        <v>20141107</v>
      </c>
      <c r="B109" s="1">
        <v>0.69</v>
      </c>
      <c r="C109" s="1">
        <v>-0.74</v>
      </c>
      <c r="D109" s="1">
        <v>0.66</v>
      </c>
      <c r="E109" s="1">
        <v>0</v>
      </c>
      <c r="F109" s="54">
        <v>41946</v>
      </c>
      <c r="G109" s="55">
        <f>100*LN('Stock Price'!B109/'Stock Price'!B110)-$E109</f>
        <v>-0.10282692792776893</v>
      </c>
      <c r="H109" s="55">
        <f>100*LN('Stock Price'!C109/'Stock Price'!C110)-$E109</f>
        <v>2.8399430788774893</v>
      </c>
      <c r="I109" s="55">
        <f>100*LN('Stock Price'!D109/'Stock Price'!D110)-$E109</f>
        <v>-0.59942019037798666</v>
      </c>
      <c r="J109" s="55">
        <f>100*LN('Stock Price'!E109/'Stock Price'!E110)-$E109</f>
        <v>6.9554849433143828E-2</v>
      </c>
    </row>
    <row r="110" spans="1:10" x14ac:dyDescent="0.35">
      <c r="A110" s="1">
        <v>20141031</v>
      </c>
      <c r="B110" s="1">
        <v>2.87</v>
      </c>
      <c r="C110" s="1">
        <v>2.29</v>
      </c>
      <c r="D110" s="1">
        <v>-0.13</v>
      </c>
      <c r="E110" s="1">
        <v>0</v>
      </c>
      <c r="F110" s="54">
        <v>41939</v>
      </c>
      <c r="G110" s="55">
        <f>100*LN('Stock Price'!B110/'Stock Price'!B111)-$E110</f>
        <v>-0.18359429505489919</v>
      </c>
      <c r="H110" s="55">
        <f>100*LN('Stock Price'!C110/'Stock Price'!C111)-$E110</f>
        <v>3.7740455059710221</v>
      </c>
      <c r="I110" s="55">
        <f>100*LN('Stock Price'!D110/'Stock Price'!D111)-$E110</f>
        <v>3.6613209582946151</v>
      </c>
      <c r="J110" s="55">
        <f>100*LN('Stock Price'!E110/'Stock Price'!E111)-$E110</f>
        <v>4.9207838365446461</v>
      </c>
    </row>
    <row r="111" spans="1:10" x14ac:dyDescent="0.35">
      <c r="A111" s="1">
        <v>20141024</v>
      </c>
      <c r="B111" s="1">
        <v>4.0599999999999996</v>
      </c>
      <c r="C111" s="1">
        <v>-0.74</v>
      </c>
      <c r="D111" s="1">
        <v>-0.67</v>
      </c>
      <c r="E111" s="1">
        <v>0</v>
      </c>
      <c r="F111" s="54">
        <v>41932</v>
      </c>
      <c r="G111" s="55">
        <f>100*LN('Stock Price'!B111/'Stock Price'!B112)-$E111</f>
        <v>4.7623569328969149</v>
      </c>
      <c r="H111" s="55">
        <f>100*LN('Stock Price'!C111/'Stock Price'!C112)-$E111</f>
        <v>-3.0068411482024944</v>
      </c>
      <c r="I111" s="55">
        <f>100*LN('Stock Price'!D111/'Stock Price'!D112)-$E111</f>
        <v>15.835679949945005</v>
      </c>
      <c r="J111" s="55">
        <f>100*LN('Stock Price'!E111/'Stock Price'!E112)-$E111</f>
        <v>6.6750184576609906</v>
      </c>
    </row>
    <row r="112" spans="1:10" x14ac:dyDescent="0.35">
      <c r="A112" s="1">
        <v>20141017</v>
      </c>
      <c r="B112" s="1">
        <v>-0.51</v>
      </c>
      <c r="C112" s="1">
        <v>3.58</v>
      </c>
      <c r="D112" s="1">
        <v>-0.87</v>
      </c>
      <c r="E112" s="1">
        <v>0</v>
      </c>
      <c r="F112" s="54">
        <v>41925</v>
      </c>
      <c r="G112" s="55">
        <f>100*LN('Stock Price'!B112/'Stock Price'!B113)-$E112</f>
        <v>-2.7114385735188105</v>
      </c>
      <c r="H112" s="55">
        <f>100*LN('Stock Price'!C112/'Stock Price'!C113)-$E112</f>
        <v>7.501969608935906</v>
      </c>
      <c r="I112" s="55">
        <f>100*LN('Stock Price'!D112/'Stock Price'!D113)-$E112</f>
        <v>-3.1390423759195007</v>
      </c>
      <c r="J112" s="55">
        <f>100*LN('Stock Price'!E112/'Stock Price'!E113)-$E112</f>
        <v>-4.0081904439237199</v>
      </c>
    </row>
    <row r="113" spans="1:10" x14ac:dyDescent="0.35">
      <c r="A113" s="1">
        <v>20141010</v>
      </c>
      <c r="B113" s="1">
        <v>-3.59</v>
      </c>
      <c r="C113" s="1">
        <v>-1.4</v>
      </c>
      <c r="D113" s="1">
        <v>0.59</v>
      </c>
      <c r="E113" s="1">
        <v>0</v>
      </c>
      <c r="F113" s="54">
        <v>41918</v>
      </c>
      <c r="G113" s="55">
        <f>100*LN('Stock Price'!B113/'Stock Price'!B114)-$E113</f>
        <v>-3.7218318025558479</v>
      </c>
      <c r="H113" s="55">
        <f>100*LN('Stock Price'!C113/'Stock Price'!C114)-$E113</f>
        <v>-0.89003005150110925</v>
      </c>
      <c r="I113" s="55">
        <f>100*LN('Stock Price'!D113/'Stock Price'!D114)-$E113</f>
        <v>-4.5994988056679986</v>
      </c>
      <c r="J113" s="55">
        <f>100*LN('Stock Price'!E113/'Stock Price'!E114)-$E113</f>
        <v>-14.358461833454728</v>
      </c>
    </row>
    <row r="114" spans="1:10" x14ac:dyDescent="0.35">
      <c r="A114" s="1">
        <v>20141003</v>
      </c>
      <c r="B114" s="1">
        <v>-0.79</v>
      </c>
      <c r="C114" s="1">
        <v>-0.39</v>
      </c>
      <c r="D114" s="1">
        <v>-0.7</v>
      </c>
      <c r="E114" s="1">
        <v>0</v>
      </c>
      <c r="F114" s="54">
        <v>41911</v>
      </c>
      <c r="G114" s="55">
        <f>100*LN('Stock Price'!B114/'Stock Price'!B115)-$E114</f>
        <v>-1.9527475019353238</v>
      </c>
      <c r="H114" s="55">
        <f>100*LN('Stock Price'!C114/'Stock Price'!C115)-$E114</f>
        <v>-2.4383780360101683</v>
      </c>
      <c r="I114" s="55">
        <f>100*LN('Stock Price'!D114/'Stock Price'!D115)-$E114</f>
        <v>0.79085139130221815</v>
      </c>
      <c r="J114" s="55">
        <f>100*LN('Stock Price'!E114/'Stock Price'!E115)-$E114</f>
        <v>-3.136919046997797</v>
      </c>
    </row>
    <row r="115" spans="1:10" x14ac:dyDescent="0.35">
      <c r="A115" s="1">
        <v>20140926</v>
      </c>
      <c r="B115" s="1">
        <v>-1.58</v>
      </c>
      <c r="C115" s="1">
        <v>-0.76</v>
      </c>
      <c r="D115" s="1">
        <v>-0.89</v>
      </c>
      <c r="E115" s="1">
        <v>0</v>
      </c>
      <c r="F115" s="54">
        <v>41904</v>
      </c>
      <c r="G115" s="55">
        <f>100*LN('Stock Price'!B115/'Stock Price'!B116)-$E115</f>
        <v>1.2975887445240688</v>
      </c>
      <c r="H115" s="55">
        <f>100*LN('Stock Price'!C115/'Stock Price'!C116)-$E115</f>
        <v>-3.041596752614486</v>
      </c>
      <c r="I115" s="55">
        <f>100*LN('Stock Price'!D115/'Stock Price'!D116)-$E115</f>
        <v>0.64787121595637032</v>
      </c>
      <c r="J115" s="55">
        <f>100*LN('Stock Price'!E115/'Stock Price'!E116)-$E115</f>
        <v>-1.7286728115923387</v>
      </c>
    </row>
    <row r="116" spans="1:10" x14ac:dyDescent="0.35">
      <c r="A116" s="1">
        <v>20140919</v>
      </c>
      <c r="B116" s="1">
        <v>0.9</v>
      </c>
      <c r="C116" s="1">
        <v>-2.33</v>
      </c>
      <c r="D116" s="1">
        <v>0.41</v>
      </c>
      <c r="E116" s="1">
        <v>0</v>
      </c>
      <c r="F116" s="54">
        <v>41897</v>
      </c>
      <c r="G116" s="55">
        <f>100*LN('Stock Price'!B116/'Stock Price'!B117)-$E116</f>
        <v>1.7927866142404592</v>
      </c>
      <c r="H116" s="55">
        <f>100*LN('Stock Price'!C116/'Stock Price'!C117)-$E116</f>
        <v>0.4804727538095877</v>
      </c>
      <c r="I116" s="55">
        <f>100*LN('Stock Price'!D116/'Stock Price'!D117)-$E116</f>
        <v>2.5140246870148486</v>
      </c>
      <c r="J116" s="55">
        <f>100*LN('Stock Price'!E116/'Stock Price'!E117)-$E116</f>
        <v>1.5817177636771886</v>
      </c>
    </row>
    <row r="117" spans="1:10" x14ac:dyDescent="0.35">
      <c r="A117" s="1">
        <v>20140912</v>
      </c>
      <c r="B117" s="1">
        <v>-0.86</v>
      </c>
      <c r="C117" s="1">
        <v>0.55000000000000004</v>
      </c>
      <c r="D117" s="1">
        <v>-0.49</v>
      </c>
      <c r="E117" s="1">
        <v>0</v>
      </c>
      <c r="F117" s="54">
        <v>41890</v>
      </c>
      <c r="G117" s="55">
        <f>100*LN('Stock Price'!B117/'Stock Price'!B118)-$E117</f>
        <v>-2.168710478436962</v>
      </c>
      <c r="H117" s="55">
        <f>100*LN('Stock Price'!C117/'Stock Price'!C118)-$E117</f>
        <v>-0.7796024167146004</v>
      </c>
      <c r="I117" s="55">
        <f>100*LN('Stock Price'!D117/'Stock Price'!D118)-$E117</f>
        <v>-2.4500756331197584</v>
      </c>
      <c r="J117" s="55">
        <f>100*LN('Stock Price'!E117/'Stock Price'!E118)-$E117</f>
        <v>-2.4452085924334512</v>
      </c>
    </row>
    <row r="118" spans="1:10" x14ac:dyDescent="0.35">
      <c r="A118" s="1">
        <v>20140905</v>
      </c>
      <c r="B118" s="1">
        <v>0.18</v>
      </c>
      <c r="C118" s="1">
        <v>-0.49</v>
      </c>
      <c r="D118" s="1">
        <v>-0.02</v>
      </c>
      <c r="E118" s="1">
        <v>0</v>
      </c>
      <c r="F118" s="54">
        <v>41884</v>
      </c>
      <c r="G118" s="55">
        <f>100*LN('Stock Price'!B118/'Stock Price'!B119)-$E118</f>
        <v>-3.7300908304962181</v>
      </c>
      <c r="H118" s="55">
        <f>100*LN('Stock Price'!C118/'Stock Price'!C119)-$E118</f>
        <v>-1.4235103095882047</v>
      </c>
      <c r="I118" s="55">
        <f>100*LN('Stock Price'!D118/'Stock Price'!D119)-$E118</f>
        <v>-1.3029113003509607</v>
      </c>
      <c r="J118" s="55">
        <f>100*LN('Stock Price'!E118/'Stock Price'!E119)-$E118</f>
        <v>4.094685201375739E-2</v>
      </c>
    </row>
    <row r="119" spans="1:10" x14ac:dyDescent="0.35">
      <c r="A119" s="1">
        <v>20140829</v>
      </c>
      <c r="B119" s="1">
        <v>0.89</v>
      </c>
      <c r="C119" s="1">
        <v>0.13</v>
      </c>
      <c r="D119" s="1">
        <v>0.01</v>
      </c>
      <c r="E119" s="1">
        <v>0</v>
      </c>
      <c r="F119" s="54">
        <v>41876</v>
      </c>
      <c r="G119" s="55">
        <f>100*LN('Stock Price'!B119/'Stock Price'!B120)-$E119</f>
        <v>0.89897033138265814</v>
      </c>
      <c r="H119" s="55">
        <f>100*LN('Stock Price'!C119/'Stock Price'!C120)-$E119</f>
        <v>-0.11771871737496292</v>
      </c>
      <c r="I119" s="55">
        <f>100*LN('Stock Price'!D119/'Stock Price'!D120)-$E119</f>
        <v>3.643774298393633</v>
      </c>
      <c r="J119" s="55">
        <f>100*LN('Stock Price'!E119/'Stock Price'!E120)-$E119</f>
        <v>2.1947021077231721</v>
      </c>
    </row>
    <row r="120" spans="1:10" x14ac:dyDescent="0.35">
      <c r="A120" s="1">
        <v>20140822</v>
      </c>
      <c r="B120" s="1">
        <v>1.79</v>
      </c>
      <c r="C120" s="1">
        <v>0.01</v>
      </c>
      <c r="D120" s="1">
        <v>0.4</v>
      </c>
      <c r="E120" s="1">
        <v>0</v>
      </c>
      <c r="F120" s="54">
        <v>41869</v>
      </c>
      <c r="G120" s="55">
        <f>100*LN('Stock Price'!B120/'Stock Price'!B121)-$E120</f>
        <v>-0.73266841804682292</v>
      </c>
      <c r="H120" s="55">
        <f>100*LN('Stock Price'!C120/'Stock Price'!C121)-$E120</f>
        <v>-1.5757600414110542</v>
      </c>
      <c r="I120" s="55">
        <f>100*LN('Stock Price'!D120/'Stock Price'!D121)-$E120</f>
        <v>2.2182689146941019</v>
      </c>
      <c r="J120" s="55">
        <f>100*LN('Stock Price'!E120/'Stock Price'!E121)-$E120</f>
        <v>1.6007212623096492</v>
      </c>
    </row>
    <row r="121" spans="1:10" x14ac:dyDescent="0.35">
      <c r="A121" s="1">
        <v>20140815</v>
      </c>
      <c r="B121" s="1">
        <v>1.31</v>
      </c>
      <c r="C121" s="1">
        <v>-0.46</v>
      </c>
      <c r="D121" s="1">
        <v>-0.36</v>
      </c>
      <c r="E121" s="1">
        <v>0</v>
      </c>
      <c r="F121" s="54">
        <v>41862</v>
      </c>
      <c r="G121" s="55">
        <f>100*LN('Stock Price'!B121/'Stock Price'!B122)-$E121</f>
        <v>5.5286277702629185</v>
      </c>
      <c r="H121" s="55">
        <f>100*LN('Stock Price'!C121/'Stock Price'!C122)-$E121</f>
        <v>2.4575321273698876</v>
      </c>
      <c r="I121" s="55">
        <f>100*LN('Stock Price'!D121/'Stock Price'!D122)-$E121</f>
        <v>3.5206894744599633</v>
      </c>
      <c r="J121" s="55">
        <f>100*LN('Stock Price'!E121/'Stock Price'!E122)-$E121</f>
        <v>3.0000016561531786</v>
      </c>
    </row>
    <row r="122" spans="1:10" x14ac:dyDescent="0.35">
      <c r="A122" s="1">
        <v>20140808</v>
      </c>
      <c r="B122" s="1">
        <v>0.51</v>
      </c>
      <c r="C122" s="1">
        <v>0.97</v>
      </c>
      <c r="D122" s="1">
        <v>-0.57999999999999996</v>
      </c>
      <c r="E122" s="1">
        <v>0</v>
      </c>
      <c r="F122" s="54">
        <v>41855</v>
      </c>
      <c r="G122" s="55">
        <f>100*LN('Stock Price'!B122/'Stock Price'!B123)-$E122</f>
        <v>-1.7679542952598197</v>
      </c>
      <c r="H122" s="55">
        <f>100*LN('Stock Price'!C122/'Stock Price'!C123)-$E122</f>
        <v>3.186319002027274</v>
      </c>
      <c r="I122" s="55">
        <f>100*LN('Stock Price'!D122/'Stock Price'!D123)-$E122</f>
        <v>-0.16170019319794132</v>
      </c>
      <c r="J122" s="55">
        <f>100*LN('Stock Price'!E122/'Stock Price'!E123)-$E122</f>
        <v>-0.15215284740732585</v>
      </c>
    </row>
    <row r="123" spans="1:10" x14ac:dyDescent="0.35">
      <c r="A123" s="1">
        <v>20140801</v>
      </c>
      <c r="B123" s="1">
        <v>-2.63</v>
      </c>
      <c r="C123" s="1">
        <v>0.26</v>
      </c>
      <c r="D123" s="1">
        <v>-0.27</v>
      </c>
      <c r="E123" s="1">
        <v>0</v>
      </c>
      <c r="F123" s="54">
        <v>41848</v>
      </c>
      <c r="G123" s="55">
        <f>100*LN('Stock Price'!B123/'Stock Price'!B124)-$E123</f>
        <v>-1.6895618986738838</v>
      </c>
      <c r="H123" s="55">
        <f>100*LN('Stock Price'!C123/'Stock Price'!C124)-$E123</f>
        <v>-0.79099137160952171</v>
      </c>
      <c r="I123" s="55">
        <f>100*LN('Stock Price'!D123/'Stock Price'!D124)-$E123</f>
        <v>-0.58685167260527471</v>
      </c>
      <c r="J123" s="55">
        <f>100*LN('Stock Price'!E123/'Stock Price'!E124)-$E123</f>
        <v>0.30454693027154789</v>
      </c>
    </row>
    <row r="124" spans="1:10" x14ac:dyDescent="0.35">
      <c r="A124" s="1">
        <v>20140725</v>
      </c>
      <c r="B124" s="1">
        <v>-0.01</v>
      </c>
      <c r="C124" s="1">
        <v>-0.48</v>
      </c>
      <c r="D124" s="1">
        <v>-0.83</v>
      </c>
      <c r="E124" s="1">
        <v>0</v>
      </c>
      <c r="F124" s="54">
        <v>41841</v>
      </c>
      <c r="G124" s="55">
        <f>100*LN('Stock Price'!B124/'Stock Price'!B125)-$E124</f>
        <v>9.8116335368068253</v>
      </c>
      <c r="H124" s="55">
        <f>100*LN('Stock Price'!C124/'Stock Price'!C125)-$E124</f>
        <v>-0.36298477139999946</v>
      </c>
      <c r="I124" s="55">
        <f>100*LN('Stock Price'!D124/'Stock Price'!D125)-$E124</f>
        <v>2.4388689656356717</v>
      </c>
      <c r="J124" s="55">
        <f>100*LN('Stock Price'!E124/'Stock Price'!E125)-$E124</f>
        <v>-5.5923077551986911</v>
      </c>
    </row>
    <row r="125" spans="1:10" x14ac:dyDescent="0.35">
      <c r="A125" s="1">
        <v>20140718</v>
      </c>
      <c r="B125" s="1">
        <v>0.37</v>
      </c>
      <c r="C125" s="1">
        <v>-1.43</v>
      </c>
      <c r="D125" s="1">
        <v>0.87</v>
      </c>
      <c r="E125" s="1">
        <v>0</v>
      </c>
      <c r="F125" s="54">
        <v>41834</v>
      </c>
      <c r="G125" s="55">
        <f>100*LN('Stock Price'!B125/'Stock Price'!B126)-$E125</f>
        <v>-5.7877930752639601</v>
      </c>
      <c r="H125" s="55">
        <f>100*LN('Stock Price'!C125/'Stock Price'!C126)-$E125</f>
        <v>0.42361053826266337</v>
      </c>
      <c r="I125" s="55">
        <f>100*LN('Stock Price'!D125/'Stock Price'!D126)-$E125</f>
        <v>-4.7412081789481793</v>
      </c>
      <c r="J125" s="55">
        <f>100*LN('Stock Price'!E125/'Stock Price'!E126)-$E125</f>
        <v>-1.1063444369497348</v>
      </c>
    </row>
    <row r="126" spans="1:10" x14ac:dyDescent="0.35">
      <c r="A126" s="1">
        <v>20140711</v>
      </c>
      <c r="B126" s="1">
        <v>-1.35</v>
      </c>
      <c r="C126" s="1">
        <v>-3.05</v>
      </c>
      <c r="D126" s="1">
        <v>0.57999999999999996</v>
      </c>
      <c r="E126" s="1">
        <v>0</v>
      </c>
      <c r="F126" s="54">
        <v>41827</v>
      </c>
      <c r="G126" s="55">
        <f>100*LN('Stock Price'!B126/'Stock Price'!B127)-$E126</f>
        <v>-2.7336881646000672</v>
      </c>
      <c r="H126" s="55">
        <f>100*LN('Stock Price'!C126/'Stock Price'!C127)-$E126</f>
        <v>-4.9684969092532949</v>
      </c>
      <c r="I126" s="55">
        <f>100*LN('Stock Price'!D126/'Stock Price'!D127)-$E126</f>
        <v>-1.114963025086966</v>
      </c>
      <c r="J126" s="55">
        <f>100*LN('Stock Price'!E126/'Stock Price'!E127)-$E126</f>
        <v>-1.5165620038791019</v>
      </c>
    </row>
    <row r="127" spans="1:10" x14ac:dyDescent="0.35">
      <c r="A127" s="1">
        <v>20140703</v>
      </c>
      <c r="B127" s="1">
        <v>1.38</v>
      </c>
      <c r="C127" s="1">
        <v>0.52</v>
      </c>
      <c r="D127" s="1">
        <v>-0.3</v>
      </c>
      <c r="E127" s="1">
        <v>0</v>
      </c>
      <c r="F127" s="54">
        <v>41820</v>
      </c>
      <c r="G127" s="55">
        <f>100*LN('Stock Price'!B127/'Stock Price'!B128)-$E127</f>
        <v>4.0111306821852901</v>
      </c>
      <c r="H127" s="55">
        <f>100*LN('Stock Price'!C127/'Stock Price'!C128)-$E127</f>
        <v>1.2775939302918167</v>
      </c>
      <c r="I127" s="55">
        <f>100*LN('Stock Price'!D127/'Stock Price'!D128)-$E127</f>
        <v>3.8311922124508104</v>
      </c>
      <c r="J127" s="55">
        <f>100*LN('Stock Price'!E127/'Stock Price'!E128)-$E127</f>
        <v>2.3759909501144065</v>
      </c>
    </row>
    <row r="128" spans="1:10" x14ac:dyDescent="0.35">
      <c r="A128" s="1">
        <v>20140627</v>
      </c>
      <c r="B128" s="1">
        <v>-0.06</v>
      </c>
      <c r="C128" s="1">
        <v>0.18</v>
      </c>
      <c r="D128" s="1">
        <v>-0.25</v>
      </c>
      <c r="E128" s="1">
        <v>1E-3</v>
      </c>
      <c r="F128" s="54">
        <v>41813</v>
      </c>
      <c r="G128" s="55">
        <f>100*LN('Stock Price'!B128/'Stock Price'!B129)-$E128</f>
        <v>-0.45887917847215653</v>
      </c>
      <c r="H128" s="55">
        <f>100*LN('Stock Price'!C128/'Stock Price'!C129)-$E128</f>
        <v>-3.8983445219946424</v>
      </c>
      <c r="I128" s="55">
        <f>100*LN('Stock Price'!D128/'Stock Price'!D129)-$E128</f>
        <v>1.2393798544267569</v>
      </c>
      <c r="J128" s="55">
        <f>100*LN('Stock Price'!E128/'Stock Price'!E129)-$E128</f>
        <v>-1.4292988397912885</v>
      </c>
    </row>
    <row r="129" spans="1:10" x14ac:dyDescent="0.35">
      <c r="A129" s="1">
        <v>20140620</v>
      </c>
      <c r="B129" s="1">
        <v>1.51</v>
      </c>
      <c r="C129" s="1">
        <v>0.74</v>
      </c>
      <c r="D129" s="1">
        <v>-0.28000000000000003</v>
      </c>
      <c r="E129" s="1">
        <v>1E-3</v>
      </c>
      <c r="F129" s="54">
        <v>41806</v>
      </c>
      <c r="G129" s="55">
        <f>100*LN('Stock Price'!B129/'Stock Price'!B130)-$E129</f>
        <v>3.0521097020115131</v>
      </c>
      <c r="H129" s="55">
        <f>100*LN('Stock Price'!C129/'Stock Price'!C130)-$E129</f>
        <v>1.642563213793651</v>
      </c>
      <c r="I129" s="55">
        <f>100*LN('Stock Price'!D129/'Stock Price'!D130)-$E129</f>
        <v>6.9228687461230143</v>
      </c>
      <c r="J129" s="55">
        <f>100*LN('Stock Price'!E129/'Stock Price'!E130)-$E129</f>
        <v>0.44569757254872266</v>
      </c>
    </row>
    <row r="130" spans="1:10" x14ac:dyDescent="0.35">
      <c r="A130" s="1">
        <v>20140613</v>
      </c>
      <c r="B130" s="1">
        <v>-0.52</v>
      </c>
      <c r="C130" s="1">
        <v>0.7</v>
      </c>
      <c r="D130" s="1">
        <v>-0.57999999999999996</v>
      </c>
      <c r="E130" s="1">
        <v>1E-3</v>
      </c>
      <c r="F130" s="54">
        <v>41799</v>
      </c>
      <c r="G130" s="55">
        <f>100*LN('Stock Price'!B130/'Stock Price'!B131)-$E130</f>
        <v>-2.4137433704594087</v>
      </c>
      <c r="H130" s="55">
        <f>100*LN('Stock Price'!C130/'Stock Price'!C131)-$E130</f>
        <v>-2.7069048839908798</v>
      </c>
      <c r="I130" s="55">
        <f>100*LN('Stock Price'!D130/'Stock Price'!D131)-$E130</f>
        <v>-0.82266163082453336</v>
      </c>
      <c r="J130" s="55">
        <f>100*LN('Stock Price'!E130/'Stock Price'!E131)-$E130</f>
        <v>1.0011544723204922</v>
      </c>
    </row>
    <row r="131" spans="1:10" x14ac:dyDescent="0.35">
      <c r="A131" s="1">
        <v>20140606</v>
      </c>
      <c r="B131" s="1">
        <v>1.6</v>
      </c>
      <c r="C131" s="1">
        <v>1.05</v>
      </c>
      <c r="D131" s="1">
        <v>0.31</v>
      </c>
      <c r="E131" s="1">
        <v>1E-3</v>
      </c>
      <c r="F131" s="54">
        <v>41792</v>
      </c>
      <c r="G131" s="55">
        <f>100*LN('Stock Price'!B131/'Stock Price'!B132)-$E131</f>
        <v>-0.57250411426386005</v>
      </c>
      <c r="H131" s="55">
        <f>100*LN('Stock Price'!C131/'Stock Price'!C132)-$E131</f>
        <v>5.8392392495980072</v>
      </c>
      <c r="I131" s="55">
        <f>100*LN('Stock Price'!D131/'Stock Price'!D132)-$E131</f>
        <v>5.2683999557597057</v>
      </c>
      <c r="J131" s="55">
        <f>100*LN('Stock Price'!E131/'Stock Price'!E132)-$E131</f>
        <v>2.1809065447761982</v>
      </c>
    </row>
    <row r="132" spans="1:10" x14ac:dyDescent="0.35">
      <c r="A132" s="1">
        <v>20140530</v>
      </c>
      <c r="B132" s="1">
        <v>1.18</v>
      </c>
      <c r="C132" s="1">
        <v>-0.5</v>
      </c>
      <c r="D132" s="1">
        <v>0.23</v>
      </c>
      <c r="E132" s="1">
        <v>0</v>
      </c>
      <c r="F132" s="54">
        <v>41786</v>
      </c>
      <c r="G132" s="55">
        <f>100*LN('Stock Price'!B132/'Stock Price'!B133)-$E132</f>
        <v>6.3534979165330645</v>
      </c>
      <c r="H132" s="55">
        <f>100*LN('Stock Price'!C132/'Stock Price'!C133)-$E132</f>
        <v>3.1140188396044231</v>
      </c>
      <c r="I132" s="55">
        <f>100*LN('Stock Price'!D132/'Stock Price'!D133)-$E132</f>
        <v>1.913235546582305</v>
      </c>
      <c r="J132" s="55">
        <f>100*LN('Stock Price'!E132/'Stock Price'!E133)-$E132</f>
        <v>1.9945498316648151</v>
      </c>
    </row>
    <row r="133" spans="1:10" x14ac:dyDescent="0.35">
      <c r="A133" s="1">
        <v>20140523</v>
      </c>
      <c r="B133" s="1">
        <v>1.39</v>
      </c>
      <c r="C133" s="1">
        <v>0.81</v>
      </c>
      <c r="D133" s="1">
        <v>-0.21</v>
      </c>
      <c r="E133" s="1">
        <v>0</v>
      </c>
      <c r="F133" s="54">
        <v>41778</v>
      </c>
      <c r="G133" s="55">
        <f>100*LN('Stock Price'!B133/'Stock Price'!B134)-$E133</f>
        <v>2.8392967058692729</v>
      </c>
      <c r="H133" s="55">
        <f>100*LN('Stock Price'!C133/'Stock Price'!C134)-$E133</f>
        <v>-1.1490907775094972</v>
      </c>
      <c r="I133" s="55">
        <f>100*LN('Stock Price'!D133/'Stock Price'!D134)-$E133</f>
        <v>1.8894466187368983</v>
      </c>
      <c r="J133" s="55">
        <f>100*LN('Stock Price'!E133/'Stock Price'!E134)-$E133</f>
        <v>1.3289746667084485</v>
      </c>
    </row>
    <row r="134" spans="1:10" x14ac:dyDescent="0.35">
      <c r="A134" s="1">
        <v>20140516</v>
      </c>
      <c r="B134" s="1">
        <v>0</v>
      </c>
      <c r="C134" s="1">
        <v>-0.21</v>
      </c>
      <c r="D134" s="1">
        <v>-1.2</v>
      </c>
      <c r="E134" s="1">
        <v>0</v>
      </c>
      <c r="F134" s="54">
        <v>41771</v>
      </c>
      <c r="G134" s="55">
        <f>100*LN('Stock Price'!B134/'Stock Price'!B135)-$E134</f>
        <v>1.6160404955331609</v>
      </c>
      <c r="H134" s="55">
        <f>100*LN('Stock Price'!C134/'Stock Price'!C135)-$E134</f>
        <v>0.29914304035075512</v>
      </c>
      <c r="I134" s="55">
        <f>100*LN('Stock Price'!D134/'Stock Price'!D135)-$E134</f>
        <v>0.44219942578099847</v>
      </c>
      <c r="J134" s="55">
        <f>100*LN('Stock Price'!E134/'Stock Price'!E135)-$E134</f>
        <v>-1.0291698479831333</v>
      </c>
    </row>
    <row r="135" spans="1:10" x14ac:dyDescent="0.35">
      <c r="A135" s="1">
        <v>20140509</v>
      </c>
      <c r="B135" s="1">
        <v>-0.47</v>
      </c>
      <c r="C135" s="1">
        <v>-1.96</v>
      </c>
      <c r="D135" s="1">
        <v>0.69</v>
      </c>
      <c r="E135" s="1">
        <v>0</v>
      </c>
      <c r="F135" s="54">
        <v>41764</v>
      </c>
      <c r="G135" s="55">
        <f>100*LN('Stock Price'!B135/'Stock Price'!B136)-$E135</f>
        <v>1.6319371660911852</v>
      </c>
      <c r="H135" s="55">
        <f>100*LN('Stock Price'!C135/'Stock Price'!C136)-$E135</f>
        <v>3.1768014984433788</v>
      </c>
      <c r="I135" s="55">
        <f>100*LN('Stock Price'!D135/'Stock Price'!D136)-$E135</f>
        <v>-0.49647874270622466</v>
      </c>
      <c r="J135" s="55">
        <f>100*LN('Stock Price'!E135/'Stock Price'!E136)-$E135</f>
        <v>0.23492647571895561</v>
      </c>
    </row>
    <row r="136" spans="1:10" x14ac:dyDescent="0.35">
      <c r="A136" s="1">
        <v>20140502</v>
      </c>
      <c r="B136" s="1">
        <v>0.99</v>
      </c>
      <c r="C136" s="1">
        <v>-0.56000000000000005</v>
      </c>
      <c r="D136" s="1">
        <v>-0.64</v>
      </c>
      <c r="E136" s="1">
        <v>0</v>
      </c>
      <c r="F136" s="54">
        <v>41757</v>
      </c>
      <c r="G136" s="55">
        <f>100*LN('Stock Price'!B136/'Stock Price'!B137)-$E136</f>
        <v>-1.3384680627111727</v>
      </c>
      <c r="H136" s="55">
        <f>100*LN('Stock Price'!C136/'Stock Price'!C137)-$E136</f>
        <v>-2.2100218345388849</v>
      </c>
      <c r="I136" s="55">
        <f>100*LN('Stock Price'!D136/'Stock Price'!D137)-$E136</f>
        <v>3.6900449558566715</v>
      </c>
      <c r="J136" s="55">
        <f>100*LN('Stock Price'!E136/'Stock Price'!E137)-$E136</f>
        <v>-0.83041390645895474</v>
      </c>
    </row>
    <row r="137" spans="1:10" x14ac:dyDescent="0.35">
      <c r="A137" s="1">
        <v>20140425</v>
      </c>
      <c r="B137" s="1">
        <v>-0.34</v>
      </c>
      <c r="C137" s="1">
        <v>-1.07</v>
      </c>
      <c r="D137" s="1">
        <v>0.54</v>
      </c>
      <c r="E137" s="1">
        <v>0</v>
      </c>
      <c r="F137" s="54">
        <v>41750</v>
      </c>
      <c r="G137" s="55">
        <f>100*LN('Stock Price'!B137/'Stock Price'!B138)-$E137</f>
        <v>-1.6414044032396844</v>
      </c>
      <c r="H137" s="55">
        <f>100*LN('Stock Price'!C137/'Stock Price'!C138)-$E137</f>
        <v>-2.1622585162013817</v>
      </c>
      <c r="I137" s="55">
        <f>100*LN('Stock Price'!D137/'Stock Price'!D138)-$E137</f>
        <v>0.38791459266567246</v>
      </c>
      <c r="J137" s="55">
        <f>100*LN('Stock Price'!E137/'Stock Price'!E138)-$E137</f>
        <v>-0.359832861841553</v>
      </c>
    </row>
    <row r="138" spans="1:10" x14ac:dyDescent="0.35">
      <c r="A138" s="1">
        <v>20140417</v>
      </c>
      <c r="B138" s="1">
        <v>2.68</v>
      </c>
      <c r="C138" s="1">
        <v>-0.51</v>
      </c>
      <c r="D138" s="1">
        <v>0.17</v>
      </c>
      <c r="E138" s="1">
        <v>0</v>
      </c>
      <c r="F138" s="54">
        <v>41743</v>
      </c>
      <c r="G138" s="55">
        <f>100*LN('Stock Price'!B138/'Stock Price'!B139)-$E138</f>
        <v>5.8613185033468582</v>
      </c>
      <c r="H138" s="55">
        <f>100*LN('Stock Price'!C138/'Stock Price'!C139)-$E138</f>
        <v>1.9196781603540234</v>
      </c>
      <c r="I138" s="55">
        <f>100*LN('Stock Price'!D138/'Stock Price'!D139)-$E138</f>
        <v>3.3119655097657845</v>
      </c>
      <c r="J138" s="55">
        <f>100*LN('Stock Price'!E138/'Stock Price'!E139)-$E138</f>
        <v>1.8552733842378939</v>
      </c>
    </row>
    <row r="139" spans="1:10" x14ac:dyDescent="0.35">
      <c r="A139" s="1">
        <v>20140411</v>
      </c>
      <c r="B139" s="1">
        <v>-2.87</v>
      </c>
      <c r="C139" s="1">
        <v>-0.78</v>
      </c>
      <c r="D139" s="1">
        <v>-0.01</v>
      </c>
      <c r="E139" s="1">
        <v>0</v>
      </c>
      <c r="F139" s="54">
        <v>41736</v>
      </c>
      <c r="G139" s="55">
        <f>100*LN('Stock Price'!B139/'Stock Price'!B140)-$E139</f>
        <v>-5.0769396410544516</v>
      </c>
      <c r="H139" s="55">
        <f>100*LN('Stock Price'!C139/'Stock Price'!C140)-$E139</f>
        <v>-2.5121005656979847</v>
      </c>
      <c r="I139" s="55">
        <f>100*LN('Stock Price'!D139/'Stock Price'!D140)-$E139</f>
        <v>-0.35001494352641643</v>
      </c>
      <c r="J139" s="55">
        <f>100*LN('Stock Price'!E139/'Stock Price'!E140)-$E139</f>
        <v>-1.5378424179577099</v>
      </c>
    </row>
    <row r="140" spans="1:10" x14ac:dyDescent="0.35">
      <c r="A140" s="1">
        <v>20140404</v>
      </c>
      <c r="B140" s="1">
        <v>0.33</v>
      </c>
      <c r="C140" s="1">
        <v>-0.28999999999999998</v>
      </c>
      <c r="D140" s="1">
        <v>1.0900000000000001</v>
      </c>
      <c r="E140" s="1">
        <v>0</v>
      </c>
      <c r="F140" s="54">
        <v>41729</v>
      </c>
      <c r="G140" s="55">
        <f>100*LN('Stock Price'!B140/'Stock Price'!B141)-$E140</f>
        <v>-2.0090327529542611</v>
      </c>
      <c r="H140" s="55">
        <f>100*LN('Stock Price'!C140/'Stock Price'!C141)-$E140</f>
        <v>-1.3493853582022792</v>
      </c>
      <c r="I140" s="55">
        <f>100*LN('Stock Price'!D140/'Stock Price'!D141)-$E140</f>
        <v>-1.3807209722286586</v>
      </c>
      <c r="J140" s="55">
        <f>100*LN('Stock Price'!E140/'Stock Price'!E141)-$E140</f>
        <v>0.55261581712165175</v>
      </c>
    </row>
    <row r="141" spans="1:10" x14ac:dyDescent="0.35">
      <c r="A141" s="1">
        <v>20140328</v>
      </c>
      <c r="B141" s="1">
        <v>-1.01</v>
      </c>
      <c r="C141" s="1">
        <v>-2.91</v>
      </c>
      <c r="D141" s="1">
        <v>1.6</v>
      </c>
      <c r="E141" s="1">
        <v>1E-3</v>
      </c>
      <c r="F141" s="54">
        <v>41722</v>
      </c>
      <c r="G141" s="55">
        <f>100*LN('Stock Price'!B141/'Stock Price'!B142)-$E141</f>
        <v>-7.9738828631658754</v>
      </c>
      <c r="H141" s="55">
        <f>100*LN('Stock Price'!C141/'Stock Price'!C142)-$E141</f>
        <v>-5.0574590752259674</v>
      </c>
      <c r="I141" s="55">
        <f>100*LN('Stock Price'!D141/'Stock Price'!D142)-$E141</f>
        <v>-3.6039137283136937</v>
      </c>
      <c r="J141" s="55">
        <f>100*LN('Stock Price'!E141/'Stock Price'!E142)-$E141</f>
        <v>-1.1242612008689987</v>
      </c>
    </row>
    <row r="142" spans="1:10" x14ac:dyDescent="0.35">
      <c r="A142" s="1">
        <v>20140321</v>
      </c>
      <c r="B142" s="1">
        <v>1.28</v>
      </c>
      <c r="C142" s="1">
        <v>-0.55000000000000004</v>
      </c>
      <c r="D142" s="1">
        <v>2.06</v>
      </c>
      <c r="E142" s="1">
        <v>1E-3</v>
      </c>
      <c r="F142" s="54">
        <v>41715</v>
      </c>
      <c r="G142" s="55">
        <f>100*LN('Stock Price'!B142/'Stock Price'!B143)-$E142</f>
        <v>-4.2903095419762085</v>
      </c>
      <c r="H142" s="55">
        <f>100*LN('Stock Price'!C142/'Stock Price'!C143)-$E142</f>
        <v>2.8651717607205587</v>
      </c>
      <c r="I142" s="55">
        <f>100*LN('Stock Price'!D142/'Stock Price'!D143)-$E142</f>
        <v>-3.4117046727484381</v>
      </c>
      <c r="J142" s="55">
        <f>100*LN('Stock Price'!E142/'Stock Price'!E143)-$E142</f>
        <v>2.9504568406387595</v>
      </c>
    </row>
    <row r="143" spans="1:10" x14ac:dyDescent="0.35">
      <c r="A143" s="1">
        <v>20140314</v>
      </c>
      <c r="B143" s="1">
        <v>-1.94</v>
      </c>
      <c r="C143" s="1">
        <v>0.2</v>
      </c>
      <c r="D143" s="1">
        <v>-0.08</v>
      </c>
      <c r="E143" s="1">
        <v>1E-3</v>
      </c>
      <c r="F143" s="54">
        <v>41708</v>
      </c>
      <c r="G143" s="55">
        <f>100*LN('Stock Price'!B143/'Stock Price'!B144)-$E143</f>
        <v>1.1302170887604064</v>
      </c>
      <c r="H143" s="55">
        <f>100*LN('Stock Price'!C143/'Stock Price'!C144)-$E143</f>
        <v>-6.6719794508109711</v>
      </c>
      <c r="I143" s="55">
        <f>100*LN('Stock Price'!D143/'Stock Price'!D144)-$E143</f>
        <v>-4.675507867820297</v>
      </c>
      <c r="J143" s="55">
        <f>100*LN('Stock Price'!E143/'Stock Price'!E144)-$E143</f>
        <v>-1.1019353116974229</v>
      </c>
    </row>
    <row r="144" spans="1:10" x14ac:dyDescent="0.35">
      <c r="A144" s="1">
        <v>20140307</v>
      </c>
      <c r="B144" s="1">
        <v>1.17</v>
      </c>
      <c r="C144" s="1">
        <v>0.49</v>
      </c>
      <c r="D144" s="1">
        <v>1.6</v>
      </c>
      <c r="E144" s="1">
        <v>1E-3</v>
      </c>
      <c r="F144" s="54">
        <v>41701</v>
      </c>
      <c r="G144" s="55">
        <f>100*LN('Stock Price'!B144/'Stock Price'!B145)-$E144</f>
        <v>-3.5656016233764674</v>
      </c>
      <c r="H144" s="55">
        <f>100*LN('Stock Price'!C144/'Stock Price'!C145)-$E144</f>
        <v>7.2990919398582648</v>
      </c>
      <c r="I144" s="55">
        <f>100*LN('Stock Price'!D144/'Stock Price'!D145)-$E144</f>
        <v>-2.6421052804563074</v>
      </c>
      <c r="J144" s="55">
        <f>100*LN('Stock Price'!E144/'Stock Price'!E145)-$E144</f>
        <v>2.2350764380856583</v>
      </c>
    </row>
    <row r="145" spans="1:10" x14ac:dyDescent="0.35">
      <c r="A145" s="1">
        <v>20140228</v>
      </c>
      <c r="B145" s="1">
        <v>1.37</v>
      </c>
      <c r="C145" s="1">
        <v>0.45</v>
      </c>
      <c r="D145" s="1">
        <v>0.4</v>
      </c>
      <c r="E145" s="1">
        <v>1E-3</v>
      </c>
      <c r="F145" s="54">
        <v>41694</v>
      </c>
      <c r="G145" s="55">
        <f>100*LN('Stock Price'!B145/'Stock Price'!B146)-$E145</f>
        <v>-1.8708089654199416</v>
      </c>
      <c r="H145" s="55">
        <f>100*LN('Stock Price'!C145/'Stock Price'!C146)-$E145</f>
        <v>1.5601748254580929</v>
      </c>
      <c r="I145" s="55">
        <f>100*LN('Stock Price'!D145/'Stock Price'!D146)-$E145</f>
        <v>-0.13776615250846322</v>
      </c>
      <c r="J145" s="55">
        <f>100*LN('Stock Price'!E145/'Stock Price'!E146)-$E145</f>
        <v>0.63770083913194231</v>
      </c>
    </row>
    <row r="146" spans="1:10" x14ac:dyDescent="0.35">
      <c r="A146" s="1">
        <v>20140221</v>
      </c>
      <c r="B146" s="1">
        <v>0.14000000000000001</v>
      </c>
      <c r="C146" s="1">
        <v>1.56</v>
      </c>
      <c r="D146" s="1">
        <v>-0.8</v>
      </c>
      <c r="E146" s="1">
        <v>1E-3</v>
      </c>
      <c r="F146" s="54">
        <v>41688</v>
      </c>
      <c r="G146" s="55">
        <f>100*LN('Stock Price'!B146/'Stock Price'!B147)-$E146</f>
        <v>5.5734297866691724</v>
      </c>
      <c r="H146" s="55">
        <f>100*LN('Stock Price'!C146/'Stock Price'!C147)-$E146</f>
        <v>2.0002453261506257</v>
      </c>
      <c r="I146" s="55">
        <f>100*LN('Stock Price'!D146/'Stock Price'!D147)-$E146</f>
        <v>-1.8231433994232715</v>
      </c>
      <c r="J146" s="55">
        <f>100*LN('Stock Price'!E146/'Stock Price'!E147)-$E146</f>
        <v>-0.31639647381536101</v>
      </c>
    </row>
    <row r="147" spans="1:10" x14ac:dyDescent="0.35">
      <c r="A147" s="1">
        <v>20140214</v>
      </c>
      <c r="B147" s="1">
        <v>2.5299999999999998</v>
      </c>
      <c r="C147" s="1">
        <v>0.56000000000000005</v>
      </c>
      <c r="D147" s="1">
        <v>-0.01</v>
      </c>
      <c r="E147" s="1">
        <v>1E-3</v>
      </c>
      <c r="F147" s="54">
        <v>41680</v>
      </c>
      <c r="G147" s="55">
        <f>100*LN('Stock Price'!B147/'Stock Price'!B148)-$E147</f>
        <v>3.9601906161406482</v>
      </c>
      <c r="H147" s="55">
        <f>100*LN('Stock Price'!C147/'Stock Price'!C148)-$E147</f>
        <v>0.41945485413901529</v>
      </c>
      <c r="I147" s="55">
        <f>100*LN('Stock Price'!D147/'Stock Price'!D148)-$E147</f>
        <v>4.3948251251760073</v>
      </c>
      <c r="J147" s="55">
        <f>100*LN('Stock Price'!E147/'Stock Price'!E148)-$E147</f>
        <v>2.926041919065228</v>
      </c>
    </row>
    <row r="148" spans="1:10" x14ac:dyDescent="0.35">
      <c r="A148" s="1">
        <v>20140207</v>
      </c>
      <c r="B148" s="1">
        <v>0.56000000000000005</v>
      </c>
      <c r="C148" s="1">
        <v>-2.19</v>
      </c>
      <c r="D148" s="1">
        <v>0.03</v>
      </c>
      <c r="E148" s="1">
        <v>1E-3</v>
      </c>
      <c r="F148" s="54">
        <v>41673</v>
      </c>
      <c r="G148" s="55">
        <f>100*LN('Stock Price'!B148/'Stock Price'!B149)-$E148</f>
        <v>0.92230685189178852</v>
      </c>
      <c r="H148" s="55">
        <f>100*LN('Stock Price'!C148/'Stock Price'!C149)-$E148</f>
        <v>-1.0078190956438762</v>
      </c>
      <c r="I148" s="55">
        <f>100*LN('Stock Price'!D148/'Stock Price'!D149)-$E148</f>
        <v>3.20513715854405</v>
      </c>
      <c r="J148" s="55">
        <f>100*LN('Stock Price'!E148/'Stock Price'!E149)-$E148</f>
        <v>-0.94166061946017687</v>
      </c>
    </row>
    <row r="149" spans="1:10" x14ac:dyDescent="0.35">
      <c r="A149" s="1">
        <v>20140131</v>
      </c>
      <c r="B149" s="1">
        <v>-0.44</v>
      </c>
      <c r="C149" s="1">
        <v>-0.82</v>
      </c>
      <c r="D149" s="1">
        <v>-0.16</v>
      </c>
      <c r="E149" s="1">
        <v>1E-3</v>
      </c>
      <c r="F149" s="54">
        <v>41666</v>
      </c>
      <c r="G149" s="55">
        <f>100*LN('Stock Price'!B149/'Stock Price'!B150)-$E149</f>
        <v>2.9331351548601816</v>
      </c>
      <c r="H149" s="55">
        <f>100*LN('Stock Price'!C149/'Stock Price'!C150)-$E149</f>
        <v>1.0058190956438708</v>
      </c>
      <c r="I149" s="55">
        <f>100*LN('Stock Price'!D149/'Stock Price'!D150)-$E149</f>
        <v>-5.9360068461018134</v>
      </c>
      <c r="J149" s="55">
        <f>100*LN('Stock Price'!E149/'Stock Price'!E150)-$E149</f>
        <v>1.7530265544546051</v>
      </c>
    </row>
    <row r="150" spans="1:10" x14ac:dyDescent="0.35">
      <c r="A150" s="1">
        <v>20140124</v>
      </c>
      <c r="B150" s="1">
        <v>-2.6</v>
      </c>
      <c r="C150" s="1">
        <v>0.48</v>
      </c>
      <c r="D150" s="1">
        <v>-0.09</v>
      </c>
      <c r="E150" s="1">
        <v>1E-3</v>
      </c>
      <c r="F150" s="54">
        <v>41660</v>
      </c>
      <c r="G150" s="55">
        <f>100*LN('Stock Price'!B150/'Stock Price'!B151)-$E150</f>
        <v>2.0354032471945986</v>
      </c>
      <c r="H150" s="55">
        <f>100*LN('Stock Price'!C150/'Stock Price'!C151)-$E150</f>
        <v>-2.0045962885272379</v>
      </c>
      <c r="I150" s="55">
        <f>100*LN('Stock Price'!D150/'Stock Price'!D151)-$E150</f>
        <v>-3.5473364513869607</v>
      </c>
      <c r="J150" s="55">
        <f>100*LN('Stock Price'!E150/'Stock Price'!E151)-$E150</f>
        <v>-4.6983565041931064</v>
      </c>
    </row>
    <row r="151" spans="1:10" x14ac:dyDescent="0.35">
      <c r="A151" s="1">
        <v>20140117</v>
      </c>
      <c r="B151" s="1">
        <v>-0.12</v>
      </c>
      <c r="C151" s="1">
        <v>0.64</v>
      </c>
      <c r="D151" s="1">
        <v>-0.7</v>
      </c>
      <c r="E151" s="1">
        <v>1E-3</v>
      </c>
      <c r="F151" s="54">
        <v>41652</v>
      </c>
      <c r="G151" s="55">
        <f>100*LN('Stock Price'!B151/'Stock Price'!B152)-$E151</f>
        <v>-0.61427860991155836</v>
      </c>
      <c r="H151" s="55">
        <f>100*LN('Stock Price'!C151/'Stock Price'!C152)-$E151</f>
        <v>0.34966569098759526</v>
      </c>
      <c r="I151" s="55">
        <f>100*LN('Stock Price'!D151/'Stock Price'!D152)-$E151</f>
        <v>-1.6456884405607282</v>
      </c>
      <c r="J151" s="55">
        <f>100*LN('Stock Price'!E151/'Stock Price'!E152)-$E151</f>
        <v>2.4752959117611733</v>
      </c>
    </row>
    <row r="152" spans="1:10" x14ac:dyDescent="0.35">
      <c r="A152" s="1">
        <v>20140110</v>
      </c>
      <c r="B152" s="1">
        <v>0.67</v>
      </c>
      <c r="C152" s="1">
        <v>0.51</v>
      </c>
      <c r="D152" s="1">
        <v>-1.43</v>
      </c>
      <c r="E152" s="1">
        <v>1E-3</v>
      </c>
      <c r="F152" s="54">
        <v>41645</v>
      </c>
      <c r="G152" s="55">
        <f>100*LN('Stock Price'!B152/'Stock Price'!B153)-$E152</f>
        <v>7.6009332660175142</v>
      </c>
      <c r="H152" s="55">
        <f>100*LN('Stock Price'!C152/'Stock Price'!C153)-$E152</f>
        <v>0.52732409522042845</v>
      </c>
      <c r="I152" s="55">
        <f>100*LN('Stock Price'!D152/'Stock Price'!D153)-$E152</f>
        <v>-1E-3</v>
      </c>
      <c r="J152" s="55">
        <f>100*LN('Stock Price'!E152/'Stock Price'!E153)-$E152</f>
        <v>1.1819151837550348</v>
      </c>
    </row>
    <row r="153" spans="1:10" x14ac:dyDescent="0.35">
      <c r="A153" s="1">
        <v>20140103</v>
      </c>
      <c r="B153" s="1">
        <v>-0.42</v>
      </c>
      <c r="C153" s="1">
        <v>-0.06</v>
      </c>
      <c r="D153" s="1">
        <v>-0.08</v>
      </c>
      <c r="E153" s="1">
        <v>1E-3</v>
      </c>
      <c r="F153" s="54">
        <v>41638</v>
      </c>
      <c r="G153" s="55">
        <f>100*LN('Stock Price'!B153/'Stock Price'!B154)-$E153</f>
        <v>8.1940299792977705E-2</v>
      </c>
      <c r="H153" s="55">
        <f>100*LN('Stock Price'!C153/'Stock Price'!C154)-$E153</f>
        <v>-0.35351997466802604</v>
      </c>
      <c r="I153" s="55">
        <f>100*LN('Stock Price'!D153/'Stock Price'!D154)-$E153</f>
        <v>0.51857726025980533</v>
      </c>
      <c r="J153" s="55">
        <f>100*LN('Stock Price'!E153/'Stock Price'!E154)-$E153</f>
        <v>0.58446114114752346</v>
      </c>
    </row>
    <row r="154" spans="1:10" x14ac:dyDescent="0.35">
      <c r="A154" s="1">
        <v>20131227</v>
      </c>
      <c r="B154" s="1">
        <v>1.35</v>
      </c>
      <c r="C154" s="1">
        <v>0.22</v>
      </c>
      <c r="D154" s="1">
        <v>-0.01</v>
      </c>
      <c r="E154" s="1">
        <v>1E-3</v>
      </c>
      <c r="F154" s="54">
        <v>41631</v>
      </c>
      <c r="G154" s="55">
        <f>100*LN('Stock Price'!B154/'Stock Price'!B155)-$E154</f>
        <v>-2.202649258050462</v>
      </c>
      <c r="H154" s="55">
        <f>100*LN('Stock Price'!C154/'Stock Price'!C155)-$E154</f>
        <v>6.6681376583810108</v>
      </c>
      <c r="I154" s="55">
        <f>100*LN('Stock Price'!D154/'Stock Price'!D155)-$E154</f>
        <v>0.86104633102487815</v>
      </c>
      <c r="J154" s="55">
        <f>100*LN('Stock Price'!E154/'Stock Price'!E155)-$E154</f>
        <v>1.9602948472327937</v>
      </c>
    </row>
    <row r="155" spans="1:10" x14ac:dyDescent="0.35">
      <c r="A155" s="1">
        <v>20131220</v>
      </c>
      <c r="B155" s="1">
        <v>2.56</v>
      </c>
      <c r="C155" s="1">
        <v>1.05</v>
      </c>
      <c r="D155" s="1">
        <v>-0.37</v>
      </c>
      <c r="E155" s="1">
        <v>1E-3</v>
      </c>
      <c r="F155" s="54">
        <v>41624</v>
      </c>
      <c r="G155" s="55">
        <f>100*LN('Stock Price'!B155/'Stock Price'!B156)-$E155</f>
        <v>2.8703492878766701</v>
      </c>
      <c r="H155" s="55">
        <f>100*LN('Stock Price'!C155/'Stock Price'!C156)-$E155</f>
        <v>-2.1716316651620677</v>
      </c>
      <c r="I155" s="55">
        <f>100*LN('Stock Price'!D155/'Stock Price'!D156)-$E155</f>
        <v>1.5514724087629215</v>
      </c>
      <c r="J155" s="55">
        <f>100*LN('Stock Price'!E155/'Stock Price'!E156)-$E155</f>
        <v>4.4494085054467005</v>
      </c>
    </row>
    <row r="156" spans="1:10" x14ac:dyDescent="0.35">
      <c r="A156" s="1">
        <v>20131213</v>
      </c>
      <c r="B156" s="1">
        <v>-1.46</v>
      </c>
      <c r="C156" s="1">
        <v>-0.69</v>
      </c>
      <c r="D156" s="1">
        <v>0.44</v>
      </c>
      <c r="E156" s="1">
        <v>1E-3</v>
      </c>
      <c r="F156" s="54">
        <v>41617</v>
      </c>
      <c r="G156" s="55">
        <f>100*LN('Stock Price'!B156/'Stock Price'!B157)-$E156</f>
        <v>-5.505546192038806</v>
      </c>
      <c r="H156" s="55">
        <f>100*LN('Stock Price'!C156/'Stock Price'!C157)-$E156</f>
        <v>12.32326963966765</v>
      </c>
      <c r="I156" s="55">
        <f>100*LN('Stock Price'!D156/'Stock Price'!D157)-$E156</f>
        <v>-0.92455593505128153</v>
      </c>
      <c r="J156" s="55">
        <f>100*LN('Stock Price'!E156/'Stock Price'!E157)-$E156</f>
        <v>-4.7733308202182059</v>
      </c>
    </row>
    <row r="157" spans="1:10" x14ac:dyDescent="0.35">
      <c r="A157" s="1">
        <v>20131206</v>
      </c>
      <c r="B157" s="1">
        <v>-7.0000000000000007E-2</v>
      </c>
      <c r="C157" s="1">
        <v>-0.84</v>
      </c>
      <c r="D157" s="1">
        <v>-0.12</v>
      </c>
      <c r="E157" s="1">
        <v>1E-3</v>
      </c>
      <c r="F157" s="54">
        <v>41610</v>
      </c>
      <c r="G157" s="55">
        <f>100*LN('Stock Price'!B157/'Stock Price'!B158)-$E157</f>
        <v>-2.5062763483042878E-2</v>
      </c>
      <c r="H157" s="55">
        <f>100*LN('Stock Price'!C157/'Stock Price'!C158)-$E157</f>
        <v>-5.5354751587140898</v>
      </c>
      <c r="I157" s="55">
        <f>100*LN('Stock Price'!D157/'Stock Price'!D158)-$E157</f>
        <v>2.8389154462311046</v>
      </c>
      <c r="J157" s="55">
        <f>100*LN('Stock Price'!E157/'Stock Price'!E158)-$E157</f>
        <v>0.62076547115249703</v>
      </c>
    </row>
    <row r="158" spans="1:10" x14ac:dyDescent="0.35">
      <c r="A158" s="1">
        <v>20131129</v>
      </c>
      <c r="B158" s="1">
        <v>0.35</v>
      </c>
      <c r="C158" s="1">
        <v>1.64</v>
      </c>
      <c r="D158" s="1">
        <v>-0.55000000000000004</v>
      </c>
      <c r="E158" s="1">
        <v>1E-3</v>
      </c>
      <c r="F158" s="54">
        <v>41603</v>
      </c>
      <c r="G158" s="55">
        <f>100*LN('Stock Price'!B158/'Stock Price'!B159)-$E158</f>
        <v>1.8547933991331513</v>
      </c>
      <c r="H158" s="55">
        <f>100*LN('Stock Price'!C158/'Stock Price'!C159)-$E158</f>
        <v>9.1368389303170137</v>
      </c>
      <c r="I158" s="55">
        <f>100*LN('Stock Price'!D158/'Stock Price'!D159)-$E158</f>
        <v>-0.96071082421298548</v>
      </c>
      <c r="J158" s="55">
        <f>100*LN('Stock Price'!E158/'Stock Price'!E159)-$E158</f>
        <v>-1.1950481501339452</v>
      </c>
    </row>
    <row r="159" spans="1:10" x14ac:dyDescent="0.35">
      <c r="A159" s="1">
        <v>20131122</v>
      </c>
      <c r="B159" s="1">
        <v>0.36</v>
      </c>
      <c r="C159" s="1">
        <v>0.18</v>
      </c>
      <c r="D159" s="1">
        <v>0.82</v>
      </c>
      <c r="E159" s="1">
        <v>1E-3</v>
      </c>
      <c r="F159" s="54">
        <v>41596</v>
      </c>
      <c r="G159" s="55">
        <f>100*LN('Stock Price'!B159/'Stock Price'!B160)-$E159</f>
        <v>15.302676481141043</v>
      </c>
      <c r="H159" s="55">
        <f>100*LN('Stock Price'!C159/'Stock Price'!C160)-$E159</f>
        <v>5.5457038645168568</v>
      </c>
      <c r="I159" s="55">
        <f>100*LN('Stock Price'!D159/'Stock Price'!D160)-$E159</f>
        <v>7.7754657884526814</v>
      </c>
      <c r="J159" s="55">
        <f>100*LN('Stock Price'!E159/'Stock Price'!E160)-$E159</f>
        <v>1.2765243913805797</v>
      </c>
    </row>
    <row r="160" spans="1:10" x14ac:dyDescent="0.35">
      <c r="A160" s="1">
        <v>20131115</v>
      </c>
      <c r="B160" s="1">
        <v>1.71</v>
      </c>
      <c r="C160" s="1">
        <v>-0.02</v>
      </c>
      <c r="D160" s="1">
        <v>-0.94</v>
      </c>
      <c r="E160" s="1">
        <v>1E-3</v>
      </c>
      <c r="F160" s="54">
        <v>41589</v>
      </c>
      <c r="G160" s="55">
        <f>100*LN('Stock Price'!B160/'Stock Price'!B161)-$E160</f>
        <v>3.4864197201008595</v>
      </c>
      <c r="H160" s="55">
        <f>100*LN('Stock Price'!C160/'Stock Price'!C161)-$E160</f>
        <v>-3.1294720690422069</v>
      </c>
      <c r="I160" s="55">
        <f>100*LN('Stock Price'!D160/'Stock Price'!D161)-$E160</f>
        <v>1.458881285118254</v>
      </c>
      <c r="J160" s="55">
        <f>100*LN('Stock Price'!E160/'Stock Price'!E161)-$E160</f>
        <v>1.6637813024306951</v>
      </c>
    </row>
    <row r="161" spans="1:10" x14ac:dyDescent="0.35">
      <c r="A161" s="1">
        <v>20131108</v>
      </c>
      <c r="B161" s="1">
        <v>0.47</v>
      </c>
      <c r="C161" s="1">
        <v>0.09</v>
      </c>
      <c r="D161" s="1">
        <v>0.71</v>
      </c>
      <c r="E161" s="1">
        <v>1E-3</v>
      </c>
      <c r="F161" s="54">
        <v>41582</v>
      </c>
      <c r="G161" s="55">
        <f>100*LN('Stock Price'!B161/'Stock Price'!B162)-$E161</f>
        <v>-2.6731629496687668</v>
      </c>
      <c r="H161" s="55">
        <f>100*LN('Stock Price'!C161/'Stock Price'!C162)-$E161</f>
        <v>4.4274931162153459</v>
      </c>
      <c r="I161" s="55">
        <f>100*LN('Stock Price'!D161/'Stock Price'!D162)-$E161</f>
        <v>-1.5931463671095889</v>
      </c>
      <c r="J161" s="55">
        <f>100*LN('Stock Price'!E161/'Stock Price'!E162)-$E161</f>
        <v>0.81838621826361901</v>
      </c>
    </row>
    <row r="162" spans="1:10" x14ac:dyDescent="0.35">
      <c r="A162" s="1">
        <v>20131101</v>
      </c>
      <c r="B162" s="1">
        <v>-0.12</v>
      </c>
      <c r="C162" s="1">
        <v>-1.73</v>
      </c>
      <c r="D162" s="1">
        <v>0.17</v>
      </c>
      <c r="E162" s="1">
        <v>1E-3</v>
      </c>
      <c r="F162" s="54">
        <v>41575</v>
      </c>
      <c r="G162" s="55">
        <f>100*LN('Stock Price'!B162/'Stock Price'!B163)-$E162</f>
        <v>-3.6997375834948572</v>
      </c>
      <c r="H162" s="55">
        <f>100*LN('Stock Price'!C162/'Stock Price'!C163)-$E162</f>
        <v>-7.7714556549465783E-2</v>
      </c>
      <c r="I162" s="55">
        <f>100*LN('Stock Price'!D162/'Stock Price'!D163)-$E162</f>
        <v>-2.8867289429004996</v>
      </c>
      <c r="J162" s="55">
        <f>100*LN('Stock Price'!E162/'Stock Price'!E163)-$E162</f>
        <v>9.021213813397928</v>
      </c>
    </row>
    <row r="163" spans="1:10" x14ac:dyDescent="0.35">
      <c r="A163" s="1">
        <v>20131025</v>
      </c>
      <c r="B163" s="1">
        <v>0.72</v>
      </c>
      <c r="C163" s="1">
        <v>-0.17</v>
      </c>
      <c r="D163" s="1">
        <v>-0.36</v>
      </c>
      <c r="E163" s="1">
        <v>1E-3</v>
      </c>
      <c r="F163" s="54">
        <v>41568</v>
      </c>
      <c r="G163" s="55">
        <f>100*LN('Stock Price'!B163/'Stock Price'!B164)-$E163</f>
        <v>2.9600342379901279</v>
      </c>
      <c r="H163" s="55">
        <f>100*LN('Stock Price'!C163/'Stock Price'!C164)-$E163</f>
        <v>-1.2205274055851814</v>
      </c>
      <c r="I163" s="55">
        <f>100*LN('Stock Price'!D163/'Stock Price'!D164)-$E163</f>
        <v>-3.0427456775292265</v>
      </c>
      <c r="J163" s="55">
        <f>100*LN('Stock Price'!E163/'Stock Price'!E164)-$E163</f>
        <v>-3.6138786914490941</v>
      </c>
    </row>
    <row r="164" spans="1:10" x14ac:dyDescent="0.35">
      <c r="A164" s="1">
        <v>20131018</v>
      </c>
      <c r="B164" s="1">
        <v>2.5099999999999998</v>
      </c>
      <c r="C164" s="1">
        <v>0.2</v>
      </c>
      <c r="D164" s="1">
        <v>-0.02</v>
      </c>
      <c r="E164" s="1">
        <v>1E-3</v>
      </c>
      <c r="F164" s="54">
        <v>41561</v>
      </c>
      <c r="G164" s="55">
        <f>100*LN('Stock Price'!B164/'Stock Price'!B165)-$E164</f>
        <v>4.2105838727553317</v>
      </c>
      <c r="H164" s="55">
        <f>100*LN('Stock Price'!C164/'Stock Price'!C165)-$E164</f>
        <v>7.4784330625058223E-2</v>
      </c>
      <c r="I164" s="55">
        <f>100*LN('Stock Price'!D164/'Stock Price'!D165)-$E164</f>
        <v>4.7047042830804235</v>
      </c>
      <c r="J164" s="55">
        <f>100*LN('Stock Price'!E164/'Stock Price'!E165)-$E164</f>
        <v>0.49651969641517318</v>
      </c>
    </row>
    <row r="165" spans="1:10" x14ac:dyDescent="0.35">
      <c r="A165" s="1">
        <v>20131011</v>
      </c>
      <c r="B165" s="1">
        <v>0.55000000000000004</v>
      </c>
      <c r="C165" s="1">
        <v>-0.27</v>
      </c>
      <c r="D165" s="1">
        <v>1.37</v>
      </c>
      <c r="E165" s="1">
        <v>1E-3</v>
      </c>
      <c r="F165" s="54">
        <v>41554</v>
      </c>
      <c r="G165" s="55">
        <f>100*LN('Stock Price'!B165/'Stock Price'!B166)-$E165</f>
        <v>-2.3164054496044977</v>
      </c>
      <c r="H165" s="55">
        <f>100*LN('Stock Price'!C165/'Stock Price'!C166)-$E165</f>
        <v>2.532722931020186</v>
      </c>
      <c r="I165" s="55">
        <f>100*LN('Stock Price'!D165/'Stock Price'!D166)-$E165</f>
        <v>-2.6425696317525564</v>
      </c>
      <c r="J165" s="55">
        <f>100*LN('Stock Price'!E165/'Stock Price'!E166)-$E165</f>
        <v>1.7854387865207932</v>
      </c>
    </row>
    <row r="166" spans="1:10" x14ac:dyDescent="0.35">
      <c r="A166" s="1">
        <v>20131004</v>
      </c>
      <c r="B166" s="1">
        <v>0.17</v>
      </c>
      <c r="C166" s="1">
        <v>0.35</v>
      </c>
      <c r="D166" s="1">
        <v>0.18</v>
      </c>
      <c r="E166" s="1">
        <v>1E-3</v>
      </c>
      <c r="F166" s="54">
        <v>41547</v>
      </c>
      <c r="G166" s="55">
        <f>100*LN('Stock Price'!B166/'Stock Price'!B167)-$E166</f>
        <v>-1.8645120012983605</v>
      </c>
      <c r="H166" s="55">
        <f>100*LN('Stock Price'!C166/'Stock Price'!C167)-$E166</f>
        <v>-2.15493738681965</v>
      </c>
      <c r="I166" s="55">
        <f>100*LN('Stock Price'!D166/'Stock Price'!D167)-$E166</f>
        <v>1.7048281822097517</v>
      </c>
      <c r="J166" s="55">
        <f>100*LN('Stock Price'!E166/'Stock Price'!E167)-$E166</f>
        <v>-2.2849584829359606</v>
      </c>
    </row>
    <row r="167" spans="1:10" x14ac:dyDescent="0.35">
      <c r="A167" s="1">
        <v>20130927</v>
      </c>
      <c r="B167" s="1">
        <v>-0.77</v>
      </c>
      <c r="C167" s="1">
        <v>1.2</v>
      </c>
      <c r="D167" s="1">
        <v>-0.56999999999999995</v>
      </c>
      <c r="E167" s="1">
        <v>0</v>
      </c>
      <c r="F167" s="54">
        <v>41540</v>
      </c>
      <c r="G167" s="55">
        <f>100*LN('Stock Price'!B167/'Stock Price'!B168)-$E167</f>
        <v>-1.3429547282850716</v>
      </c>
      <c r="H167" s="55">
        <f>100*LN('Stock Price'!C167/'Stock Price'!C168)-$E167</f>
        <v>-3.5878210289063066</v>
      </c>
      <c r="I167" s="55">
        <f>100*LN('Stock Price'!D167/'Stock Price'!D168)-$E167</f>
        <v>3.1204292178338573</v>
      </c>
      <c r="J167" s="55">
        <f>100*LN('Stock Price'!E167/'Stock Price'!E168)-$E167</f>
        <v>0.14899070248188701</v>
      </c>
    </row>
    <row r="168" spans="1:10" x14ac:dyDescent="0.35">
      <c r="A168" s="1">
        <v>20130920</v>
      </c>
      <c r="B168" s="1">
        <v>1.36</v>
      </c>
      <c r="C168" s="1">
        <v>0.56999999999999995</v>
      </c>
      <c r="D168" s="1">
        <v>-0.61</v>
      </c>
      <c r="E168" s="1">
        <v>0</v>
      </c>
      <c r="F168" s="54">
        <v>41533</v>
      </c>
      <c r="G168" s="55">
        <f>100*LN('Stock Price'!B168/'Stock Price'!B169)-$E168</f>
        <v>5.5602083165163885</v>
      </c>
      <c r="H168" s="55">
        <f>100*LN('Stock Price'!C168/'Stock Price'!C169)-$E168</f>
        <v>6.5223984810755944</v>
      </c>
      <c r="I168" s="55">
        <f>100*LN('Stock Price'!D168/'Stock Price'!D169)-$E168</f>
        <v>0.25389470783147561</v>
      </c>
      <c r="J168" s="55">
        <f>100*LN('Stock Price'!E168/'Stock Price'!E169)-$E168</f>
        <v>1.6032469767976281</v>
      </c>
    </row>
    <row r="169" spans="1:10" x14ac:dyDescent="0.35">
      <c r="A169" s="1">
        <v>20130913</v>
      </c>
      <c r="B169" s="1">
        <v>2.16</v>
      </c>
      <c r="C169" s="1">
        <v>0.27</v>
      </c>
      <c r="D169" s="1">
        <v>-0.34</v>
      </c>
      <c r="E169" s="1">
        <v>0</v>
      </c>
      <c r="F169" s="54">
        <v>41526</v>
      </c>
      <c r="G169" s="55">
        <f>100*LN('Stock Price'!B169/'Stock Price'!B170)-$E169</f>
        <v>4.1450688068746224</v>
      </c>
      <c r="H169" s="55">
        <f>100*LN('Stock Price'!C169/'Stock Price'!C170)-$E169</f>
        <v>-0.15661305415223789</v>
      </c>
      <c r="I169" s="55">
        <f>100*LN('Stock Price'!D169/'Stock Price'!D170)-$E169</f>
        <v>1.6934079931037676</v>
      </c>
      <c r="J169" s="55">
        <f>100*LN('Stock Price'!E169/'Stock Price'!E170)-$E169</f>
        <v>1.7834781365734611</v>
      </c>
    </row>
    <row r="170" spans="1:10" x14ac:dyDescent="0.35">
      <c r="A170" s="1">
        <v>20130906</v>
      </c>
      <c r="B170" s="1">
        <v>1.49</v>
      </c>
      <c r="C170" s="1">
        <v>0.26</v>
      </c>
      <c r="D170" s="1">
        <v>0.32</v>
      </c>
      <c r="E170" s="1">
        <v>0</v>
      </c>
      <c r="F170" s="54">
        <v>41520</v>
      </c>
      <c r="G170" s="55">
        <f>100*LN('Stock Price'!B170/'Stock Price'!B171)-$E170</f>
        <v>5.5513974496142868</v>
      </c>
      <c r="H170" s="55">
        <f>100*LN('Stock Price'!C170/'Stock Price'!C171)-$E170</f>
        <v>-1.8605268067095801</v>
      </c>
      <c r="I170" s="55">
        <f>100*LN('Stock Price'!D170/'Stock Price'!D171)-$E170</f>
        <v>4.8728971240929857</v>
      </c>
      <c r="J170" s="55">
        <f>100*LN('Stock Price'!E170/'Stock Price'!E171)-$E170</f>
        <v>0.23163624753310008</v>
      </c>
    </row>
    <row r="171" spans="1:10" x14ac:dyDescent="0.35">
      <c r="A171" s="1">
        <v>20130830</v>
      </c>
      <c r="B171" s="1">
        <v>-1.87</v>
      </c>
      <c r="C171" s="1">
        <v>-0.53</v>
      </c>
      <c r="D171" s="1">
        <v>-1.31</v>
      </c>
      <c r="E171" s="1">
        <v>0</v>
      </c>
      <c r="F171" s="54">
        <v>41512</v>
      </c>
      <c r="G171" s="55">
        <f>100*LN('Stock Price'!B171/'Stock Price'!B172)-$E171</f>
        <v>0.77285915573153563</v>
      </c>
      <c r="H171" s="55">
        <f>100*LN('Stock Price'!C171/'Stock Price'!C172)-$E171</f>
        <v>-3.1004276212658333</v>
      </c>
      <c r="I171" s="55">
        <f>100*LN('Stock Price'!D171/'Stock Price'!D172)-$E171</f>
        <v>1.2291202356448963</v>
      </c>
      <c r="J171" s="55">
        <f>100*LN('Stock Price'!E171/'Stock Price'!E172)-$E171</f>
        <v>-0.69328835156712654</v>
      </c>
    </row>
    <row r="172" spans="1:10" x14ac:dyDescent="0.35">
      <c r="A172" s="1">
        <v>20130823</v>
      </c>
      <c r="B172" s="1">
        <v>0.61</v>
      </c>
      <c r="C172" s="1">
        <v>0.9</v>
      </c>
      <c r="D172" s="1">
        <v>-1.19</v>
      </c>
      <c r="E172" s="1">
        <v>0</v>
      </c>
      <c r="F172" s="54">
        <v>41505</v>
      </c>
      <c r="G172" s="55">
        <f>100*LN('Stock Price'!B172/'Stock Price'!B173)-$E172</f>
        <v>2.1470239013118344</v>
      </c>
      <c r="H172" s="55">
        <f>100*LN('Stock Price'!C172/'Stock Price'!C173)-$E172</f>
        <v>-2.1363669559818801</v>
      </c>
      <c r="I172" s="55">
        <f>100*LN('Stock Price'!D172/'Stock Price'!D173)-$E172</f>
        <v>4.2701108162965964</v>
      </c>
      <c r="J172" s="55">
        <f>100*LN('Stock Price'!E172/'Stock Price'!E173)-$E172</f>
        <v>-0.19427519002273969</v>
      </c>
    </row>
    <row r="173" spans="1:10" x14ac:dyDescent="0.35">
      <c r="A173" s="1">
        <v>20130816</v>
      </c>
      <c r="B173" s="1">
        <v>-2.04</v>
      </c>
      <c r="C173" s="1">
        <v>0.1</v>
      </c>
      <c r="D173" s="1">
        <v>0.4</v>
      </c>
      <c r="E173" s="1">
        <v>0</v>
      </c>
      <c r="F173" s="54">
        <v>41498</v>
      </c>
      <c r="G173" s="55">
        <f>100*LN('Stock Price'!B173/'Stock Price'!B174)-$E173</f>
        <v>-2.6048638792353365</v>
      </c>
      <c r="H173" s="55">
        <f>100*LN('Stock Price'!C173/'Stock Price'!C174)-$E173</f>
        <v>-1.0152334127955682</v>
      </c>
      <c r="I173" s="55">
        <f>100*LN('Stock Price'!D173/'Stock Price'!D174)-$E173</f>
        <v>-6.9812734027786316</v>
      </c>
      <c r="J173" s="55">
        <f>100*LN('Stock Price'!E173/'Stock Price'!E174)-$E173</f>
        <v>-2.7460606338376028</v>
      </c>
    </row>
    <row r="174" spans="1:10" x14ac:dyDescent="0.35">
      <c r="A174" s="1">
        <v>20130809</v>
      </c>
      <c r="B174" s="1">
        <v>-0.98</v>
      </c>
      <c r="C174" s="1">
        <v>-0.05</v>
      </c>
      <c r="D174" s="1">
        <v>-0.47</v>
      </c>
      <c r="E174" s="1">
        <v>0</v>
      </c>
      <c r="F174" s="54">
        <v>41491</v>
      </c>
      <c r="G174" s="55">
        <f>100*LN('Stock Price'!B174/'Stock Price'!B175)-$E174</f>
        <v>-7.0056536002330168</v>
      </c>
      <c r="H174" s="55">
        <f>100*LN('Stock Price'!C174/'Stock Price'!C175)-$E174</f>
        <v>-1.5050364249243851</v>
      </c>
      <c r="I174" s="55">
        <f>100*LN('Stock Price'!D174/'Stock Price'!D175)-$E174</f>
        <v>-3.649079970882481</v>
      </c>
      <c r="J174" s="55">
        <f>100*LN('Stock Price'!E174/'Stock Price'!E175)-$E174</f>
        <v>-2.1197007913291532</v>
      </c>
    </row>
    <row r="175" spans="1:10" x14ac:dyDescent="0.35">
      <c r="A175" s="1">
        <v>20130802</v>
      </c>
      <c r="B175" s="1">
        <v>1.44</v>
      </c>
      <c r="C175" s="1">
        <v>-0.11</v>
      </c>
      <c r="D175" s="1">
        <v>-0.99</v>
      </c>
      <c r="E175" s="1">
        <v>0</v>
      </c>
      <c r="F175" s="54">
        <v>41484</v>
      </c>
      <c r="G175" s="55">
        <f>100*LN('Stock Price'!B175/'Stock Price'!B176)-$E175</f>
        <v>2.0089808858308196</v>
      </c>
      <c r="H175" s="55">
        <f>100*LN('Stock Price'!C175/'Stock Price'!C176)-$E175</f>
        <v>4.4161967770664727</v>
      </c>
      <c r="I175" s="55">
        <f>100*LN('Stock Price'!D175/'Stock Price'!D176)-$E175</f>
        <v>2.3414189928742246</v>
      </c>
      <c r="J175" s="55">
        <f>100*LN('Stock Price'!E175/'Stock Price'!E176)-$E175</f>
        <v>5.4241337121482376</v>
      </c>
    </row>
    <row r="176" spans="1:10" x14ac:dyDescent="0.35">
      <c r="A176" s="1">
        <v>20130726</v>
      </c>
      <c r="B176" s="1">
        <v>0.12</v>
      </c>
      <c r="C176" s="1">
        <v>-0.16</v>
      </c>
      <c r="D176" s="1">
        <v>-0.21</v>
      </c>
      <c r="E176" s="1">
        <v>0</v>
      </c>
      <c r="F176" s="54">
        <v>41477</v>
      </c>
      <c r="G176" s="55">
        <f>100*LN('Stock Price'!B176/'Stock Price'!B177)-$E176</f>
        <v>-3.1049938681899372</v>
      </c>
      <c r="H176" s="55">
        <f>100*LN('Stock Price'!C176/'Stock Price'!C177)-$E176</f>
        <v>-4.4870068010770154</v>
      </c>
      <c r="I176" s="55">
        <f>100*LN('Stock Price'!D176/'Stock Price'!D177)-$E176</f>
        <v>5.7550825041930329</v>
      </c>
      <c r="J176" s="55">
        <f>100*LN('Stock Price'!E176/'Stock Price'!E177)-$E176</f>
        <v>-1.4654058240676666</v>
      </c>
    </row>
    <row r="177" spans="1:10" x14ac:dyDescent="0.35">
      <c r="A177" s="1">
        <v>20130719</v>
      </c>
      <c r="B177" s="1">
        <v>0.72</v>
      </c>
      <c r="C177" s="1">
        <v>0.4</v>
      </c>
      <c r="D177" s="1">
        <v>1.86</v>
      </c>
      <c r="E177" s="1">
        <v>0</v>
      </c>
      <c r="F177" s="54">
        <v>41470</v>
      </c>
      <c r="G177" s="55">
        <f>100*LN('Stock Price'!B177/'Stock Price'!B178)-$E177</f>
        <v>1.7214274975172787</v>
      </c>
      <c r="H177" s="55">
        <f>100*LN('Stock Price'!C177/'Stock Price'!C178)-$E177</f>
        <v>3.5293569878407509</v>
      </c>
      <c r="I177" s="55">
        <f>100*LN('Stock Price'!D177/'Stock Price'!D178)-$E177</f>
        <v>0.98355535710260322</v>
      </c>
      <c r="J177" s="55">
        <f>100*LN('Stock Price'!E177/'Stock Price'!E178)-$E177</f>
        <v>1.0843580754282813</v>
      </c>
    </row>
    <row r="178" spans="1:10" x14ac:dyDescent="0.35">
      <c r="A178" s="1">
        <v>20130712</v>
      </c>
      <c r="B178" s="1">
        <v>3.02</v>
      </c>
      <c r="C178" s="1">
        <v>0.08</v>
      </c>
      <c r="D178" s="1">
        <v>-0.53</v>
      </c>
      <c r="E178" s="1">
        <v>0</v>
      </c>
      <c r="F178" s="54">
        <v>41463</v>
      </c>
      <c r="G178" s="55">
        <f>100*LN('Stock Price'!B178/'Stock Price'!B179)-$E178</f>
        <v>2.0938741743909786</v>
      </c>
      <c r="H178" s="55">
        <f>100*LN('Stock Price'!C178/'Stock Price'!C179)-$E178</f>
        <v>10.178272694359784</v>
      </c>
      <c r="I178" s="55">
        <f>100*LN('Stock Price'!D178/'Stock Price'!D179)-$E178</f>
        <v>9.4062397353558911</v>
      </c>
      <c r="J178" s="55">
        <f>100*LN('Stock Price'!E178/'Stock Price'!E179)-$E178</f>
        <v>3.1159986177896957</v>
      </c>
    </row>
    <row r="179" spans="1:10" x14ac:dyDescent="0.35">
      <c r="A179" s="1">
        <v>20130705</v>
      </c>
      <c r="B179" s="1">
        <v>1.84</v>
      </c>
      <c r="C179" s="1">
        <v>1.42</v>
      </c>
      <c r="D179" s="1">
        <v>0.17</v>
      </c>
      <c r="E179" s="1">
        <v>0</v>
      </c>
      <c r="F179" s="54">
        <v>41456</v>
      </c>
      <c r="G179" s="55">
        <f>100*LN('Stock Price'!B179/'Stock Price'!B180)-$E179</f>
        <v>2.9531719774248915</v>
      </c>
      <c r="H179" s="55">
        <f>100*LN('Stock Price'!C179/'Stock Price'!C180)-$E179</f>
        <v>7.5857751515236771</v>
      </c>
      <c r="I179" s="55">
        <f>100*LN('Stock Price'!D179/'Stock Price'!D180)-$E179</f>
        <v>4.5944769799062462</v>
      </c>
      <c r="J179" s="55">
        <f>100*LN('Stock Price'!E179/'Stock Price'!E180)-$E179</f>
        <v>2.5968585720881756</v>
      </c>
    </row>
    <row r="180" spans="1:10" x14ac:dyDescent="0.35">
      <c r="A180" s="1">
        <v>20130628</v>
      </c>
      <c r="B180" s="1">
        <v>1.1100000000000001</v>
      </c>
      <c r="C180" s="1">
        <v>0.5</v>
      </c>
      <c r="D180" s="1">
        <v>0.28000000000000003</v>
      </c>
      <c r="E180" s="1">
        <v>0</v>
      </c>
      <c r="F180" s="54">
        <v>41449</v>
      </c>
      <c r="G180" s="55">
        <f>100*LN('Stock Price'!B180/'Stock Price'!B181)-$E180</f>
        <v>7.791125751775704</v>
      </c>
      <c r="H180" s="55">
        <f>100*LN('Stock Price'!C180/'Stock Price'!C181)-$E180</f>
        <v>6.1391153931091331</v>
      </c>
      <c r="I180" s="55">
        <f>100*LN('Stock Price'!D180/'Stock Price'!D181)-$E180</f>
        <v>2.6769943922498589</v>
      </c>
      <c r="J180" s="55">
        <f>100*LN('Stock Price'!E180/'Stock Price'!E181)-$E180</f>
        <v>1.3513783536674797</v>
      </c>
    </row>
    <row r="181" spans="1:10" x14ac:dyDescent="0.35">
      <c r="A181" s="1">
        <v>20130621</v>
      </c>
      <c r="B181" s="1">
        <v>-2.08</v>
      </c>
      <c r="C181" s="1">
        <v>0.59</v>
      </c>
      <c r="D181" s="1">
        <v>0.37</v>
      </c>
      <c r="E181" s="1">
        <v>0</v>
      </c>
      <c r="F181" s="54">
        <v>41442</v>
      </c>
      <c r="G181" s="55">
        <f>100*LN('Stock Price'!B181/'Stock Price'!B182)-$E181</f>
        <v>-6.2882570504827333</v>
      </c>
      <c r="H181" s="55">
        <f>100*LN('Stock Price'!C181/'Stock Price'!C182)-$E181</f>
        <v>-0.6496630151338294</v>
      </c>
      <c r="I181" s="55">
        <f>100*LN('Stock Price'!D181/'Stock Price'!D182)-$E181</f>
        <v>-4.6911066169190985</v>
      </c>
      <c r="J181" s="55">
        <f>100*LN('Stock Price'!E181/'Stock Price'!E182)-$E181</f>
        <v>-0.78602222657562226</v>
      </c>
    </row>
    <row r="182" spans="1:10" x14ac:dyDescent="0.35">
      <c r="A182" s="1">
        <v>20130614</v>
      </c>
      <c r="B182" s="1">
        <v>-0.93</v>
      </c>
      <c r="C182" s="1">
        <v>0.52</v>
      </c>
      <c r="D182" s="1">
        <v>-0.56999999999999995</v>
      </c>
      <c r="E182" s="1">
        <v>0</v>
      </c>
      <c r="F182" s="54">
        <v>41435</v>
      </c>
      <c r="G182" s="55">
        <f>100*LN('Stock Price'!B182/'Stock Price'!B183)-$E182</f>
        <v>-5.9650177584944322</v>
      </c>
      <c r="H182" s="55">
        <f>100*LN('Stock Price'!C182/'Stock Price'!C183)-$E182</f>
        <v>0.18519185415396114</v>
      </c>
      <c r="I182" s="55">
        <f>100*LN('Stock Price'!D182/'Stock Price'!D183)-$E182</f>
        <v>-0.87584826685086092</v>
      </c>
      <c r="J182" s="55">
        <f>100*LN('Stock Price'!E182/'Stock Price'!E183)-$E182</f>
        <v>0.92216660706976372</v>
      </c>
    </row>
    <row r="183" spans="1:10" x14ac:dyDescent="0.35">
      <c r="A183" s="1">
        <v>20130607</v>
      </c>
      <c r="B183" s="1">
        <v>0.73</v>
      </c>
      <c r="C183" s="1">
        <v>-0.43</v>
      </c>
      <c r="D183" s="1">
        <v>-0.22</v>
      </c>
      <c r="E183" s="1">
        <v>0</v>
      </c>
      <c r="F183" s="54">
        <v>41428</v>
      </c>
      <c r="G183" s="55">
        <f>100*LN('Stock Price'!B183/'Stock Price'!B184)-$E183</f>
        <v>-5.393623345948102</v>
      </c>
      <c r="H183" s="55">
        <f>100*LN('Stock Price'!C183/'Stock Price'!C184)-$E183</f>
        <v>-0.18519185415396866</v>
      </c>
      <c r="I183" s="55">
        <f>100*LN('Stock Price'!D183/'Stock Price'!D184)-$E183</f>
        <v>-2.6552391018152299</v>
      </c>
      <c r="J183" s="55">
        <f>100*LN('Stock Price'!E183/'Stock Price'!E184)-$E183</f>
        <v>0.60125381466311278</v>
      </c>
    </row>
    <row r="184" spans="1:10" x14ac:dyDescent="0.35">
      <c r="A184" s="1">
        <v>20130531</v>
      </c>
      <c r="B184" s="1">
        <v>-0.76</v>
      </c>
      <c r="C184" s="1">
        <v>1.0900000000000001</v>
      </c>
      <c r="D184" s="1">
        <v>1.04</v>
      </c>
      <c r="E184" s="1">
        <v>0</v>
      </c>
      <c r="F184" s="54">
        <v>41422</v>
      </c>
      <c r="G184" s="55">
        <f>100*LN('Stock Price'!B184/'Stock Price'!B185)-$E184</f>
        <v>0.95192475319606562</v>
      </c>
      <c r="H184" s="55">
        <f>100*LN('Stock Price'!C184/'Stock Price'!C185)-$E184</f>
        <v>0.55659796815222151</v>
      </c>
      <c r="I184" s="55">
        <f>100*LN('Stock Price'!D184/'Stock Price'!D185)-$E184</f>
        <v>0.86911157686509233</v>
      </c>
      <c r="J184" s="55">
        <f>100*LN('Stock Price'!E184/'Stock Price'!E185)-$E184</f>
        <v>0.43956347021676545</v>
      </c>
    </row>
    <row r="185" spans="1:10" x14ac:dyDescent="0.35">
      <c r="A185" s="1">
        <v>20130524</v>
      </c>
      <c r="B185" s="1">
        <v>-1.07</v>
      </c>
      <c r="C185" s="1">
        <v>0.15</v>
      </c>
      <c r="D185" s="1">
        <v>0.22</v>
      </c>
      <c r="E185" s="1">
        <v>0</v>
      </c>
      <c r="F185" s="54">
        <v>41414</v>
      </c>
      <c r="G185" s="55">
        <f>100*LN('Stock Price'!B185/'Stock Price'!B186)-$E185</f>
        <v>3.6317258287475553</v>
      </c>
      <c r="H185" s="55">
        <f>100*LN('Stock Price'!C185/'Stock Price'!C186)-$E185</f>
        <v>2.6391694994411918</v>
      </c>
      <c r="I185" s="55">
        <f>100*LN('Stock Price'!D185/'Stock Price'!D186)-$E185</f>
        <v>-1.8829615627413101</v>
      </c>
      <c r="J185" s="55">
        <f>100*LN('Stock Price'!E185/'Stock Price'!E186)-$E185</f>
        <v>-2.0709220550918506</v>
      </c>
    </row>
    <row r="186" spans="1:10" x14ac:dyDescent="0.35">
      <c r="A186" s="1">
        <v>20130517</v>
      </c>
      <c r="B186" s="1">
        <v>2.14</v>
      </c>
      <c r="C186" s="1">
        <v>-0.09</v>
      </c>
      <c r="D186" s="1">
        <v>0.61</v>
      </c>
      <c r="E186" s="1">
        <v>0</v>
      </c>
      <c r="F186" s="54">
        <v>41407</v>
      </c>
      <c r="G186" s="55">
        <f>100*LN('Stock Price'!B186/'Stock Price'!B187)-$E186</f>
        <v>6.1964531346847478</v>
      </c>
      <c r="H186" s="55">
        <f>100*LN('Stock Price'!C186/'Stock Price'!C187)-$E186</f>
        <v>0.9596946871092199</v>
      </c>
      <c r="I186" s="55">
        <f>100*LN('Stock Price'!D186/'Stock Price'!D187)-$E186</f>
        <v>-2.0209079885274055</v>
      </c>
      <c r="J186" s="55">
        <f>100*LN('Stock Price'!E186/'Stock Price'!E187)-$E186</f>
        <v>0.59379467726741142</v>
      </c>
    </row>
    <row r="187" spans="1:10" x14ac:dyDescent="0.35">
      <c r="A187" s="1">
        <v>20130510</v>
      </c>
      <c r="B187" s="1">
        <v>1.44</v>
      </c>
      <c r="C187" s="1">
        <v>0.71</v>
      </c>
      <c r="D187" s="1">
        <v>0.56999999999999995</v>
      </c>
      <c r="E187" s="1">
        <v>0</v>
      </c>
      <c r="F187" s="54">
        <v>41400</v>
      </c>
      <c r="G187" s="55">
        <f>100*LN('Stock Price'!B187/'Stock Price'!B188)-$E187</f>
        <v>-2.6062089840621767</v>
      </c>
      <c r="H187" s="55">
        <f>100*LN('Stock Price'!C187/'Stock Price'!C188)-$E187</f>
        <v>1.1510346082678016</v>
      </c>
      <c r="I187" s="55">
        <f>100*LN('Stock Price'!D187/'Stock Price'!D188)-$E187</f>
        <v>4.673672707698409</v>
      </c>
      <c r="J187" s="55">
        <f>100*LN('Stock Price'!E187/'Stock Price'!E188)-$E187</f>
        <v>-0.90958559992528787</v>
      </c>
    </row>
    <row r="188" spans="1:10" x14ac:dyDescent="0.35">
      <c r="A188" s="1">
        <v>20130503</v>
      </c>
      <c r="B188" s="1">
        <v>2.0499999999999998</v>
      </c>
      <c r="C188" s="1">
        <v>0.3</v>
      </c>
      <c r="D188" s="1">
        <v>-0.13</v>
      </c>
      <c r="E188" s="1">
        <v>0</v>
      </c>
      <c r="F188" s="54">
        <v>41393</v>
      </c>
      <c r="G188" s="55">
        <f>100*LN('Stock Price'!B188/'Stock Price'!B189)-$E188</f>
        <v>2.4328320269697499</v>
      </c>
      <c r="H188" s="55">
        <f>100*LN('Stock Price'!C188/'Stock Price'!C189)-$E188</f>
        <v>3.6583398711084945</v>
      </c>
      <c r="I188" s="55">
        <f>100*LN('Stock Price'!D188/'Stock Price'!D189)-$E188</f>
        <v>1.0744826256114544</v>
      </c>
      <c r="J188" s="55">
        <f>100*LN('Stock Price'!E188/'Stock Price'!E189)-$E188</f>
        <v>5.3327799926430011</v>
      </c>
    </row>
    <row r="189" spans="1:10" x14ac:dyDescent="0.35">
      <c r="A189" s="1">
        <v>20130426</v>
      </c>
      <c r="B189" s="1">
        <v>1.92</v>
      </c>
      <c r="C189" s="1">
        <v>0.53</v>
      </c>
      <c r="D189" s="1">
        <v>1.49</v>
      </c>
      <c r="E189" s="1">
        <v>1E-3</v>
      </c>
      <c r="F189" s="54">
        <v>41386</v>
      </c>
      <c r="G189" s="55">
        <f>100*LN('Stock Price'!B189/'Stock Price'!B190)-$E189</f>
        <v>4.9513106534113938</v>
      </c>
      <c r="H189" s="55">
        <f>100*LN('Stock Price'!C189/'Stock Price'!C190)-$E189</f>
        <v>-0.5032584256100685</v>
      </c>
      <c r="I189" s="55">
        <f>100*LN('Stock Price'!D189/'Stock Price'!D190)-$E189</f>
        <v>-1.6656482729653324</v>
      </c>
      <c r="J189" s="55">
        <f>100*LN('Stock Price'!E189/'Stock Price'!E190)-$E189</f>
        <v>3.6024740502425341</v>
      </c>
    </row>
    <row r="190" spans="1:10" x14ac:dyDescent="0.35">
      <c r="A190" s="1">
        <v>20130419</v>
      </c>
      <c r="B190" s="1">
        <v>-2.2400000000000002</v>
      </c>
      <c r="C190" s="1">
        <v>-1.41</v>
      </c>
      <c r="D190" s="1">
        <v>-0.61</v>
      </c>
      <c r="E190" s="1">
        <v>1E-3</v>
      </c>
      <c r="F190" s="54">
        <v>41379</v>
      </c>
      <c r="G190" s="55">
        <f>100*LN('Stock Price'!B190/'Stock Price'!B191)-$E190</f>
        <v>-1.824191287470861</v>
      </c>
      <c r="H190" s="55">
        <f>100*LN('Stock Price'!C190/'Stock Price'!C191)-$E190</f>
        <v>-1.6900604244401907</v>
      </c>
      <c r="I190" s="55">
        <f>100*LN('Stock Price'!D190/'Stock Price'!D191)-$E190</f>
        <v>-0.52268360897148303</v>
      </c>
      <c r="J190" s="55">
        <f>100*LN('Stock Price'!E190/'Stock Price'!E191)-$E190</f>
        <v>-5.5792321441008745</v>
      </c>
    </row>
    <row r="191" spans="1:10" x14ac:dyDescent="0.35">
      <c r="A191" s="1">
        <v>20130412</v>
      </c>
      <c r="B191" s="1">
        <v>2.38</v>
      </c>
      <c r="C191" s="1">
        <v>0.03</v>
      </c>
      <c r="D191" s="1">
        <v>-0.22</v>
      </c>
      <c r="E191" s="1">
        <v>1E-3</v>
      </c>
      <c r="F191" s="54">
        <v>41372</v>
      </c>
      <c r="G191" s="55">
        <f>100*LN('Stock Price'!B191/'Stock Price'!B192)-$E191</f>
        <v>6.8461969536315159</v>
      </c>
      <c r="H191" s="55">
        <f>100*LN('Stock Price'!C191/'Stock Price'!C192)-$E191</f>
        <v>1.5879065691828971</v>
      </c>
      <c r="I191" s="55">
        <f>100*LN('Stock Price'!D191/'Stock Price'!D192)-$E191</f>
        <v>5.4884121323492758</v>
      </c>
      <c r="J191" s="55">
        <f>100*LN('Stock Price'!E191/'Stock Price'!E192)-$E191</f>
        <v>2.1424314434182654</v>
      </c>
    </row>
    <row r="192" spans="1:10" x14ac:dyDescent="0.35">
      <c r="A192" s="1">
        <v>20130405</v>
      </c>
      <c r="B192" s="1">
        <v>-1.39</v>
      </c>
      <c r="C192" s="1">
        <v>-1.99</v>
      </c>
      <c r="D192" s="1">
        <v>7.0000000000000007E-2</v>
      </c>
      <c r="E192" s="1">
        <v>1E-3</v>
      </c>
      <c r="F192" s="54">
        <v>41365</v>
      </c>
      <c r="G192" s="55">
        <f>100*LN('Stock Price'!B192/'Stock Price'!B193)-$E192</f>
        <v>0.3565797412650743</v>
      </c>
      <c r="H192" s="55">
        <f>100*LN('Stock Price'!C192/'Stock Price'!C193)-$E192</f>
        <v>-0.30085070620528237</v>
      </c>
      <c r="I192" s="55">
        <f>100*LN('Stock Price'!D192/'Stock Price'!D193)-$E192</f>
        <v>0.44661716387383488</v>
      </c>
      <c r="J192" s="55">
        <f>100*LN('Stock Price'!E192/'Stock Price'!E193)-$E192</f>
        <v>-3.4033500716465994</v>
      </c>
    </row>
    <row r="193" spans="1:10" x14ac:dyDescent="0.35">
      <c r="A193" s="1">
        <v>20130328</v>
      </c>
      <c r="B193" s="1">
        <v>0.85</v>
      </c>
      <c r="C193" s="1">
        <v>-0.19</v>
      </c>
      <c r="D193" s="1">
        <v>-0.78</v>
      </c>
      <c r="E193" s="1">
        <v>1E-3</v>
      </c>
      <c r="F193" s="54">
        <v>41358</v>
      </c>
      <c r="G193" s="55">
        <f>100*LN('Stock Price'!B193/'Stock Price'!B194)-$E193</f>
        <v>7.8925759882788267</v>
      </c>
      <c r="H193" s="55">
        <f>100*LN('Stock Price'!C193/'Stock Price'!C194)-$E193</f>
        <v>2.3211635390967174</v>
      </c>
      <c r="I193" s="55">
        <f>100*LN('Stock Price'!D193/'Stock Price'!D194)-$E193</f>
        <v>2.4266480150587619</v>
      </c>
      <c r="J193" s="55">
        <f>100*LN('Stock Price'!E193/'Stock Price'!E194)-$E193</f>
        <v>1.5613219530131244</v>
      </c>
    </row>
    <row r="194" spans="1:10" x14ac:dyDescent="0.35">
      <c r="A194" s="1">
        <v>20130322</v>
      </c>
      <c r="B194" s="1">
        <v>-0.21</v>
      </c>
      <c r="C194" s="1">
        <v>0.05</v>
      </c>
      <c r="D194" s="1">
        <v>-0.77</v>
      </c>
      <c r="E194" s="1">
        <v>1E-3</v>
      </c>
      <c r="F194" s="54">
        <v>41351</v>
      </c>
      <c r="G194" s="55">
        <f>100*LN('Stock Price'!B194/'Stock Price'!B195)-$E194</f>
        <v>0.68675343160317415</v>
      </c>
      <c r="H194" s="55">
        <f>100*LN('Stock Price'!C194/'Stock Price'!C195)-$E194</f>
        <v>1.0257080471472333</v>
      </c>
      <c r="I194" s="55">
        <f>100*LN('Stock Price'!D194/'Stock Price'!D195)-$E194</f>
        <v>0.64636270064138868</v>
      </c>
      <c r="J194" s="55">
        <f>100*LN('Stock Price'!E194/'Stock Price'!E195)-$E194</f>
        <v>-0.22174202660672424</v>
      </c>
    </row>
    <row r="195" spans="1:10" x14ac:dyDescent="0.35">
      <c r="A195" s="1">
        <v>20130315</v>
      </c>
      <c r="B195" s="1">
        <v>0.67</v>
      </c>
      <c r="C195" s="1">
        <v>0.32</v>
      </c>
      <c r="D195" s="1">
        <v>0.96</v>
      </c>
      <c r="E195" s="1">
        <v>1E-3</v>
      </c>
      <c r="F195" s="54">
        <v>41344</v>
      </c>
      <c r="G195" s="55">
        <f>100*LN('Stock Price'!B195/'Stock Price'!B196)-$E195</f>
        <v>2.5194644751115356</v>
      </c>
      <c r="H195" s="55">
        <f>100*LN('Stock Price'!C195/'Stock Price'!C196)-$E195</f>
        <v>5.6238176322180236</v>
      </c>
      <c r="I195" s="55">
        <f>100*LN('Stock Price'!D195/'Stock Price'!D196)-$E195</f>
        <v>0.92857586670753822</v>
      </c>
      <c r="J195" s="55">
        <f>100*LN('Stock Price'!E195/'Stock Price'!E196)-$E195</f>
        <v>-1.5599037676197034</v>
      </c>
    </row>
    <row r="196" spans="1:10" x14ac:dyDescent="0.35">
      <c r="A196" s="1">
        <v>20130308</v>
      </c>
      <c r="B196" s="1">
        <v>2.4700000000000002</v>
      </c>
      <c r="C196" s="1">
        <v>0.51</v>
      </c>
      <c r="D196" s="1">
        <v>0.72</v>
      </c>
      <c r="E196" s="1">
        <v>1E-3</v>
      </c>
      <c r="F196" s="54">
        <v>41337</v>
      </c>
      <c r="G196" s="55">
        <f>100*LN('Stock Price'!B196/'Stock Price'!B197)-$E196</f>
        <v>2.1569399456062261</v>
      </c>
      <c r="H196" s="55">
        <f>100*LN('Stock Price'!C196/'Stock Price'!C197)-$E196</f>
        <v>4.6926052889545851</v>
      </c>
      <c r="I196" s="55">
        <f>100*LN('Stock Price'!D196/'Stock Price'!D197)-$E196</f>
        <v>5.2910430371514874</v>
      </c>
      <c r="J196" s="55">
        <f>100*LN('Stock Price'!E196/'Stock Price'!E197)-$E196</f>
        <v>1.0629824447125482</v>
      </c>
    </row>
    <row r="197" spans="1:10" x14ac:dyDescent="0.35">
      <c r="A197" s="1">
        <v>20130301</v>
      </c>
      <c r="B197" s="1">
        <v>0.2</v>
      </c>
      <c r="C197" s="1">
        <v>-0.55000000000000004</v>
      </c>
      <c r="D197" s="1">
        <v>-1.04</v>
      </c>
      <c r="E197" s="1">
        <v>1E-3</v>
      </c>
      <c r="F197" s="54">
        <v>41330</v>
      </c>
      <c r="G197" s="55">
        <f>100*LN('Stock Price'!B197/'Stock Price'!B198)-$E197</f>
        <v>2.5809525643147095</v>
      </c>
      <c r="H197" s="55">
        <f>100*LN('Stock Price'!C197/'Stock Price'!C198)-$E197</f>
        <v>1.149754245309863</v>
      </c>
      <c r="I197" s="55">
        <f>100*LN('Stock Price'!D197/'Stock Price'!D198)-$E197</f>
        <v>3.8302206464882516</v>
      </c>
      <c r="J197" s="55">
        <f>100*LN('Stock Price'!E197/'Stock Price'!E198)-$E197</f>
        <v>-1.1192412109597445</v>
      </c>
    </row>
    <row r="198" spans="1:10" x14ac:dyDescent="0.35">
      <c r="A198" s="1">
        <v>20130222</v>
      </c>
      <c r="B198" s="1">
        <v>-0.36</v>
      </c>
      <c r="C198" s="1">
        <v>-0.49</v>
      </c>
      <c r="D198" s="1">
        <v>-0.6</v>
      </c>
      <c r="E198" s="1">
        <v>1E-3</v>
      </c>
      <c r="F198" s="54">
        <v>41324</v>
      </c>
      <c r="G198" s="55">
        <f>100*LN('Stock Price'!B198/'Stock Price'!B199)-$E198</f>
        <v>-2.6066652243137289</v>
      </c>
      <c r="H198" s="55">
        <f>100*LN('Stock Price'!C198/'Stock Price'!C199)-$E198</f>
        <v>5.2258457415483903</v>
      </c>
      <c r="I198" s="55">
        <f>100*LN('Stock Price'!D198/'Stock Price'!D199)-$E198</f>
        <v>2.8731685327803862</v>
      </c>
      <c r="J198" s="55">
        <f>100*LN('Stock Price'!E198/'Stock Price'!E199)-$E198</f>
        <v>0.38758771019597688</v>
      </c>
    </row>
    <row r="199" spans="1:10" x14ac:dyDescent="0.35">
      <c r="A199" s="1">
        <v>20130215</v>
      </c>
      <c r="B199" s="1">
        <v>0.23</v>
      </c>
      <c r="C199" s="1">
        <v>0.64</v>
      </c>
      <c r="D199" s="1">
        <v>1.18</v>
      </c>
      <c r="E199" s="1">
        <v>1E-3</v>
      </c>
      <c r="F199" s="54">
        <v>41316</v>
      </c>
      <c r="G199" s="55">
        <f>100*LN('Stock Price'!B199/'Stock Price'!B200)-$E199</f>
        <v>2.5803324176697457</v>
      </c>
      <c r="H199" s="55">
        <f>100*LN('Stock Price'!C199/'Stock Price'!C200)-$E199</f>
        <v>-4.1807143562960833</v>
      </c>
      <c r="I199" s="55">
        <f>100*LN('Stock Price'!D199/'Stock Price'!D200)-$E199</f>
        <v>-1.3685447323769284</v>
      </c>
      <c r="J199" s="55">
        <f>100*LN('Stock Price'!E199/'Stock Price'!E200)-$E199</f>
        <v>1.8773864523660173</v>
      </c>
    </row>
    <row r="200" spans="1:10" x14ac:dyDescent="0.35">
      <c r="A200" s="1">
        <v>20130208</v>
      </c>
      <c r="B200" s="1">
        <v>0.45</v>
      </c>
      <c r="C200" s="1">
        <v>0.01</v>
      </c>
      <c r="D200" s="1">
        <v>-0.01</v>
      </c>
      <c r="E200" s="1">
        <v>1E-3</v>
      </c>
      <c r="F200" s="54">
        <v>41309</v>
      </c>
      <c r="G200" s="55">
        <f>100*LN('Stock Price'!B200/'Stock Price'!B201)-$E200</f>
        <v>4.4380945056099126</v>
      </c>
      <c r="H200" s="55">
        <f>100*LN('Stock Price'!C200/'Stock Price'!C201)-$E200</f>
        <v>1.408293736867632</v>
      </c>
      <c r="I200" s="55">
        <f>100*LN('Stock Price'!D200/'Stock Price'!D201)-$E200</f>
        <v>-1.3008188659326476</v>
      </c>
      <c r="J200" s="55">
        <f>100*LN('Stock Price'!E200/'Stock Price'!E201)-$E200</f>
        <v>5.2745045868148521</v>
      </c>
    </row>
    <row r="201" spans="1:10" x14ac:dyDescent="0.35">
      <c r="A201" s="1">
        <v>20130201</v>
      </c>
      <c r="B201" s="1">
        <v>0.73</v>
      </c>
      <c r="C201" s="1">
        <v>-0.17</v>
      </c>
      <c r="D201" s="1">
        <v>1.07</v>
      </c>
      <c r="E201" s="1">
        <v>1E-3</v>
      </c>
      <c r="F201" s="54">
        <v>41302</v>
      </c>
      <c r="G201" s="55">
        <f>100*LN('Stock Price'!B201/'Stock Price'!B202)-$E201</f>
        <v>7.3169302340227107</v>
      </c>
      <c r="H201" s="55">
        <f>100*LN('Stock Price'!C201/'Stock Price'!C202)-$E201</f>
        <v>3.113008020656638</v>
      </c>
      <c r="I201" s="55">
        <f>100*LN('Stock Price'!D201/'Stock Price'!D202)-$E201</f>
        <v>1.669018898510781</v>
      </c>
      <c r="J201" s="55">
        <f>100*LN('Stock Price'!E201/'Stock Price'!E202)-$E201</f>
        <v>3.5971547307188119</v>
      </c>
    </row>
    <row r="202" spans="1:10" x14ac:dyDescent="0.35">
      <c r="A202" s="1">
        <v>20130125</v>
      </c>
      <c r="B202" s="1">
        <v>1.27</v>
      </c>
      <c r="C202" s="1">
        <v>0.09</v>
      </c>
      <c r="D202" s="1">
        <v>0.08</v>
      </c>
      <c r="E202" s="1">
        <v>0</v>
      </c>
      <c r="F202" s="54">
        <v>41296</v>
      </c>
      <c r="G202" s="55">
        <f>100*LN('Stock Price'!B202/'Stock Price'!B203)-$E202</f>
        <v>1.3219677691471268</v>
      </c>
      <c r="H202" s="55">
        <f>100*LN('Stock Price'!C202/'Stock Price'!C203)-$E202</f>
        <v>-5.5602628225162469</v>
      </c>
      <c r="I202" s="55">
        <f>100*LN('Stock Price'!D202/'Stock Price'!D203)-$E202</f>
        <v>-0.27027995831911705</v>
      </c>
      <c r="J202" s="55">
        <f>100*LN('Stock Price'!E202/'Stock Price'!E203)-$E202</f>
        <v>-0.68831794771314325</v>
      </c>
    </row>
    <row r="203" spans="1:10" x14ac:dyDescent="0.35">
      <c r="A203" s="1">
        <v>20130118</v>
      </c>
      <c r="B203" s="1">
        <v>0.98</v>
      </c>
      <c r="C203" s="1">
        <v>0.49</v>
      </c>
      <c r="D203" s="1">
        <v>-7.0000000000000007E-2</v>
      </c>
      <c r="E203" s="1">
        <v>0</v>
      </c>
      <c r="F203" s="54">
        <v>41288</v>
      </c>
      <c r="G203" s="55">
        <f>100*LN('Stock Price'!B203/'Stock Price'!B204)-$E203</f>
        <v>0.34019959468280581</v>
      </c>
      <c r="H203" s="55">
        <f>100*LN('Stock Price'!C203/'Stock Price'!C204)-$E203</f>
        <v>3.3941243637984391</v>
      </c>
      <c r="I203" s="55">
        <f>100*LN('Stock Price'!D203/'Stock Price'!D204)-$E203</f>
        <v>3.8001760662144521</v>
      </c>
      <c r="J203" s="55">
        <f>100*LN('Stock Price'!E203/'Stock Price'!E204)-$E203</f>
        <v>-0.17878531475230197</v>
      </c>
    </row>
    <row r="204" spans="1:10" x14ac:dyDescent="0.35">
      <c r="A204" s="1">
        <v>20130111</v>
      </c>
      <c r="B204" s="1">
        <v>0.44</v>
      </c>
      <c r="C204" s="1">
        <v>-0.32</v>
      </c>
      <c r="D204" s="1">
        <v>-0.77</v>
      </c>
      <c r="E204" s="1">
        <v>0</v>
      </c>
      <c r="F204" s="54">
        <v>41281</v>
      </c>
      <c r="G204" s="55">
        <f>100*LN('Stock Price'!B204/'Stock Price'!B205)-$E204</f>
        <v>-1.4773153553906619</v>
      </c>
      <c r="H204" s="55">
        <f>100*LN('Stock Price'!C204/'Stock Price'!C205)-$E204</f>
        <v>3.0213685831771109</v>
      </c>
      <c r="I204" s="55">
        <f>100*LN('Stock Price'!D204/'Stock Price'!D205)-$E204</f>
        <v>15.96522027077763</v>
      </c>
      <c r="J204" s="55">
        <f>100*LN('Stock Price'!E204/'Stock Price'!E205)-$E204</f>
        <v>1.1377375316217315</v>
      </c>
    </row>
    <row r="205" spans="1:10" x14ac:dyDescent="0.35">
      <c r="A205" s="1">
        <v>20130104</v>
      </c>
      <c r="B205" s="1">
        <v>4.8</v>
      </c>
      <c r="C205" s="1">
        <v>0.85</v>
      </c>
      <c r="D205" s="1">
        <v>0.83</v>
      </c>
      <c r="E205" s="1">
        <v>0</v>
      </c>
      <c r="F205" s="54">
        <v>41274</v>
      </c>
      <c r="G205" s="55">
        <f>100*LN('Stock Price'!B205/'Stock Price'!B206)-$E205</f>
        <v>-8.2204266321111399E-2</v>
      </c>
      <c r="H205" s="55">
        <f>100*LN('Stock Price'!C205/'Stock Price'!C206)-$E205</f>
        <v>0.6153768578886456</v>
      </c>
      <c r="I205" s="55">
        <f>100*LN('Stock Price'!D205/'Stock Price'!D206)-$E205</f>
        <v>5.4574822930857154</v>
      </c>
      <c r="J205" s="55">
        <f>100*LN('Stock Price'!E205/'Stock Price'!E206)-$E205</f>
        <v>3.3683519008787086</v>
      </c>
    </row>
    <row r="206" spans="1:10" x14ac:dyDescent="0.35">
      <c r="A206" s="1">
        <v>20121228</v>
      </c>
      <c r="B206" s="1">
        <v>-1.88</v>
      </c>
      <c r="C206" s="1">
        <v>0.09</v>
      </c>
      <c r="D206" s="1">
        <v>0.14000000000000001</v>
      </c>
      <c r="E206" s="1">
        <v>3.0000000000000001E-3</v>
      </c>
      <c r="F206" s="54">
        <v>41267</v>
      </c>
      <c r="G206" s="55">
        <f>100*LN('Stock Price'!B206/'Stock Price'!B207)-$E206</f>
        <v>-2.6116091332238707</v>
      </c>
      <c r="H206" s="55">
        <f>100*LN('Stock Price'!C206/'Stock Price'!C207)-$E206</f>
        <v>-0.61837685788865626</v>
      </c>
      <c r="I206" s="55">
        <f>100*LN('Stock Price'!D206/'Stock Price'!D207)-$E206</f>
        <v>-2.5058200905652699</v>
      </c>
      <c r="J206" s="55">
        <f>100*LN('Stock Price'!E206/'Stock Price'!E207)-$E206</f>
        <v>-1.4868032277348406</v>
      </c>
    </row>
    <row r="207" spans="1:10" x14ac:dyDescent="0.35">
      <c r="A207" s="1">
        <v>20121221</v>
      </c>
      <c r="B207" s="1">
        <v>1.4</v>
      </c>
      <c r="C207" s="1">
        <v>1.07</v>
      </c>
      <c r="D207" s="1">
        <v>1.29</v>
      </c>
      <c r="E207" s="1">
        <v>3.0000000000000001E-3</v>
      </c>
      <c r="F207" s="54">
        <v>41260</v>
      </c>
      <c r="G207" s="55">
        <f>100*LN('Stock Price'!B207/'Stock Price'!B208)-$E207</f>
        <v>-0.89289562040517034</v>
      </c>
      <c r="H207" s="55">
        <f>100*LN('Stock Price'!C207/'Stock Price'!C208)-$E207</f>
        <v>2.9860119909143497</v>
      </c>
      <c r="I207" s="55">
        <f>100*LN('Stock Price'!D207/'Stock Price'!D208)-$E207</f>
        <v>0.42450726313450615</v>
      </c>
      <c r="J207" s="55">
        <f>100*LN('Stock Price'!E207/'Stock Price'!E208)-$E207</f>
        <v>2.9553420791881395</v>
      </c>
    </row>
    <row r="208" spans="1:10" x14ac:dyDescent="0.35">
      <c r="A208" s="1">
        <v>20121214</v>
      </c>
      <c r="B208" s="1">
        <v>-0.14000000000000001</v>
      </c>
      <c r="C208" s="1">
        <v>0.55000000000000004</v>
      </c>
      <c r="D208" s="1">
        <v>0.82</v>
      </c>
      <c r="E208" s="1">
        <v>3.0000000000000001E-3</v>
      </c>
      <c r="F208" s="54">
        <v>41253</v>
      </c>
      <c r="G208" s="55">
        <f>100*LN('Stock Price'!B208/'Stock Price'!B209)-$E208</f>
        <v>-2.9438157703643431E-2</v>
      </c>
      <c r="H208" s="55">
        <f>100*LN('Stock Price'!C208/'Stock Price'!C209)-$E208</f>
        <v>3.3392230217428134</v>
      </c>
      <c r="I208" s="55">
        <f>100*LN('Stock Price'!D208/'Stock Price'!D209)-$E208</f>
        <v>0.8575469455758864</v>
      </c>
      <c r="J208" s="55">
        <f>100*LN('Stock Price'!E208/'Stock Price'!E209)-$E208</f>
        <v>2.5255303592922496</v>
      </c>
    </row>
    <row r="209" spans="1:10" x14ac:dyDescent="0.35">
      <c r="A209" s="1">
        <v>20121207</v>
      </c>
      <c r="B209" s="1">
        <v>0.13</v>
      </c>
      <c r="C209" s="1">
        <v>-0.61</v>
      </c>
      <c r="D209" s="1">
        <v>1.32</v>
      </c>
      <c r="E209" s="1">
        <v>3.0000000000000001E-3</v>
      </c>
      <c r="F209" s="54">
        <v>41246</v>
      </c>
      <c r="G209" s="55">
        <f>100*LN('Stock Price'!B209/'Stock Price'!B210)-$E209</f>
        <v>1.4618354877111746</v>
      </c>
      <c r="H209" s="55">
        <f>100*LN('Stock Price'!C209/'Stock Price'!C210)-$E209</f>
        <v>-10.185498232677928</v>
      </c>
      <c r="I209" s="55">
        <f>100*LN('Stock Price'!D209/'Stock Price'!D210)-$E209</f>
        <v>0.11145795398369329</v>
      </c>
      <c r="J209" s="55">
        <f>100*LN('Stock Price'!E209/'Stock Price'!E210)-$E209</f>
        <v>1.4006529162820367</v>
      </c>
    </row>
    <row r="210" spans="1:10" x14ac:dyDescent="0.35">
      <c r="F210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I41"/>
  <sheetViews>
    <sheetView topLeftCell="B1" workbookViewId="0">
      <selection activeCell="N12" sqref="N12"/>
    </sheetView>
  </sheetViews>
  <sheetFormatPr defaultRowHeight="14.5" x14ac:dyDescent="0.35"/>
  <cols>
    <col min="2" max="2" width="12.54296875" bestFit="1" customWidth="1"/>
    <col min="3" max="3" width="15.6328125" bestFit="1" customWidth="1"/>
    <col min="4" max="4" width="14.54296875" bestFit="1" customWidth="1"/>
    <col min="5" max="5" width="5.81640625" bestFit="1" customWidth="1"/>
    <col min="6" max="6" width="25" bestFit="1" customWidth="1"/>
    <col min="13" max="13" width="4.26953125" bestFit="1" customWidth="1"/>
  </cols>
  <sheetData>
    <row r="2" spans="2:9" x14ac:dyDescent="0.35">
      <c r="B2" s="104" t="s">
        <v>9</v>
      </c>
      <c r="C2" s="104"/>
      <c r="D2" s="104"/>
      <c r="E2" s="4">
        <v>0.2</v>
      </c>
    </row>
    <row r="3" spans="2:9" x14ac:dyDescent="0.35">
      <c r="B3" s="104" t="s">
        <v>13</v>
      </c>
      <c r="C3" s="104"/>
      <c r="D3" s="104"/>
      <c r="E3" s="5">
        <v>0.45</v>
      </c>
      <c r="I3" s="4" t="s">
        <v>64</v>
      </c>
    </row>
    <row r="4" spans="2:9" x14ac:dyDescent="0.35">
      <c r="B4" s="104" t="s">
        <v>14</v>
      </c>
      <c r="C4" s="104"/>
      <c r="D4" s="104"/>
      <c r="E4" s="5">
        <v>0.24</v>
      </c>
      <c r="H4" s="102" t="s">
        <v>114</v>
      </c>
      <c r="I4" s="5">
        <v>0.12</v>
      </c>
    </row>
    <row r="5" spans="2:9" x14ac:dyDescent="0.35">
      <c r="B5" s="104" t="s">
        <v>11</v>
      </c>
      <c r="C5" s="104"/>
      <c r="D5" s="104"/>
      <c r="E5" s="4">
        <v>0.25</v>
      </c>
      <c r="H5" s="102" t="s">
        <v>115</v>
      </c>
      <c r="I5" s="5">
        <v>0.08</v>
      </c>
    </row>
    <row r="6" spans="2:9" x14ac:dyDescent="0.35">
      <c r="B6" s="104" t="s">
        <v>10</v>
      </c>
      <c r="C6" s="104"/>
      <c r="D6" s="104"/>
      <c r="E6" s="4">
        <f>E5*(E3*E4)</f>
        <v>2.7E-2</v>
      </c>
      <c r="H6" s="102" t="s">
        <v>116</v>
      </c>
      <c r="I6" s="5">
        <f>E2*I4+(1-E2)*I5</f>
        <v>8.7999999999999995E-2</v>
      </c>
    </row>
    <row r="7" spans="2:9" x14ac:dyDescent="0.35">
      <c r="B7" s="104" t="s">
        <v>12</v>
      </c>
      <c r="C7" s="104"/>
      <c r="D7" s="104"/>
      <c r="E7" s="5">
        <f>portstddev(E2,E3,E4,E6)</f>
        <v>0.23152537657889688</v>
      </c>
      <c r="F7" t="str">
        <f ca="1">gformula(E7)</f>
        <v>&lt;--  =portstddev(E2,E3,E4,E6)</v>
      </c>
    </row>
    <row r="8" spans="2:9" x14ac:dyDescent="0.35">
      <c r="B8" s="10"/>
      <c r="C8" s="10"/>
      <c r="D8" s="10"/>
      <c r="E8" s="11"/>
    </row>
    <row r="9" spans="2:9" x14ac:dyDescent="0.35">
      <c r="B9" s="10"/>
      <c r="C9" s="10"/>
      <c r="D9" s="10"/>
      <c r="E9" s="11"/>
    </row>
    <row r="10" spans="2:9" x14ac:dyDescent="0.35">
      <c r="B10" s="103" t="s">
        <v>17</v>
      </c>
      <c r="C10" s="103"/>
      <c r="D10" s="103"/>
      <c r="E10" s="103"/>
      <c r="F10" s="103"/>
      <c r="G10" s="103"/>
      <c r="H10" s="103"/>
      <c r="I10" s="103"/>
    </row>
    <row r="13" spans="2:9" x14ac:dyDescent="0.35">
      <c r="B13" s="52" t="s">
        <v>9</v>
      </c>
      <c r="C13" s="101" t="s">
        <v>15</v>
      </c>
      <c r="D13" s="101" t="s">
        <v>16</v>
      </c>
    </row>
    <row r="14" spans="2:9" x14ac:dyDescent="0.35">
      <c r="B14" s="7"/>
      <c r="C14" s="9">
        <f>E7</f>
        <v>0.23152537657889688</v>
      </c>
      <c r="D14" s="8">
        <f>I6</f>
        <v>8.7999999999999995E-2</v>
      </c>
    </row>
    <row r="15" spans="2:9" x14ac:dyDescent="0.35">
      <c r="B15" s="4">
        <v>0</v>
      </c>
      <c r="C15" s="8">
        <f t="dataTable" ref="C15:D40" dt2D="0" dtr="0" r1="E2"/>
        <v>0.24</v>
      </c>
      <c r="D15" s="8">
        <v>0.08</v>
      </c>
    </row>
    <row r="16" spans="2:9" x14ac:dyDescent="0.35">
      <c r="B16" s="4">
        <f>B15+0.04</f>
        <v>0.04</v>
      </c>
      <c r="C16" s="8">
        <v>0.2355456643625605</v>
      </c>
      <c r="D16" s="8">
        <v>8.1599999999999992E-2</v>
      </c>
    </row>
    <row r="17" spans="2:4" x14ac:dyDescent="0.35">
      <c r="B17" s="4">
        <f t="shared" ref="B17:B40" si="0">B16+0.04</f>
        <v>0.08</v>
      </c>
      <c r="C17" s="8">
        <v>0.23242856967249098</v>
      </c>
      <c r="D17" s="8">
        <v>8.3199999999999996E-2</v>
      </c>
    </row>
    <row r="18" spans="2:4" x14ac:dyDescent="0.35">
      <c r="B18" s="4">
        <f t="shared" si="0"/>
        <v>0.12</v>
      </c>
      <c r="C18" s="8">
        <v>0.23070292585920968</v>
      </c>
      <c r="D18" s="8">
        <v>8.48E-2</v>
      </c>
    </row>
    <row r="19" spans="2:4" x14ac:dyDescent="0.35">
      <c r="B19" s="4">
        <f t="shared" si="0"/>
        <v>0.16</v>
      </c>
      <c r="C19" s="8">
        <v>0.23039999999999999</v>
      </c>
      <c r="D19" s="8">
        <v>8.6399999999999991E-2</v>
      </c>
    </row>
    <row r="20" spans="2:4" x14ac:dyDescent="0.35">
      <c r="B20" s="4">
        <f t="shared" si="0"/>
        <v>0.2</v>
      </c>
      <c r="C20" s="8">
        <v>0.23152537657889688</v>
      </c>
      <c r="D20" s="8">
        <v>8.7999999999999995E-2</v>
      </c>
    </row>
    <row r="21" spans="2:4" x14ac:dyDescent="0.35">
      <c r="B21" s="4">
        <f t="shared" si="0"/>
        <v>0.24000000000000002</v>
      </c>
      <c r="C21" s="8">
        <v>0.23405845423739771</v>
      </c>
      <c r="D21" s="8">
        <v>8.9599999999999999E-2</v>
      </c>
    </row>
    <row r="22" spans="2:4" x14ac:dyDescent="0.35">
      <c r="B22" s="4">
        <f t="shared" si="0"/>
        <v>0.28000000000000003</v>
      </c>
      <c r="C22" s="8">
        <v>0.23795428132311466</v>
      </c>
      <c r="D22" s="8">
        <v>9.1200000000000003E-2</v>
      </c>
    </row>
    <row r="23" spans="2:4" x14ac:dyDescent="0.35">
      <c r="B23" s="4">
        <f t="shared" si="0"/>
        <v>0.32</v>
      </c>
      <c r="C23" s="8">
        <v>0.24314736272474763</v>
      </c>
      <c r="D23" s="8">
        <v>9.2799999999999994E-2</v>
      </c>
    </row>
    <row r="24" spans="2:4" x14ac:dyDescent="0.35">
      <c r="B24" s="4">
        <f t="shared" si="0"/>
        <v>0.36</v>
      </c>
      <c r="C24" s="8">
        <v>0.24955672701812709</v>
      </c>
      <c r="D24" s="8">
        <v>9.4399999999999998E-2</v>
      </c>
    </row>
    <row r="25" spans="2:4" x14ac:dyDescent="0.35">
      <c r="B25" s="4">
        <f t="shared" si="0"/>
        <v>0.39999999999999997</v>
      </c>
      <c r="C25" s="8">
        <v>0.2570914234275426</v>
      </c>
      <c r="D25" s="8">
        <v>9.6000000000000002E-2</v>
      </c>
    </row>
    <row r="26" spans="2:4" x14ac:dyDescent="0.35">
      <c r="B26" s="4">
        <f t="shared" si="0"/>
        <v>0.43999999999999995</v>
      </c>
      <c r="C26" s="8">
        <v>0.26565571704745977</v>
      </c>
      <c r="D26" s="8">
        <v>9.7599999999999992E-2</v>
      </c>
    </row>
    <row r="27" spans="2:4" x14ac:dyDescent="0.35">
      <c r="B27" s="4">
        <f t="shared" si="0"/>
        <v>0.47999999999999993</v>
      </c>
      <c r="C27" s="8">
        <v>0.27515348444095705</v>
      </c>
      <c r="D27" s="8">
        <v>9.9199999999999997E-2</v>
      </c>
    </row>
    <row r="28" spans="2:4" x14ac:dyDescent="0.35">
      <c r="B28" s="4">
        <f t="shared" si="0"/>
        <v>0.51999999999999991</v>
      </c>
      <c r="C28" s="8">
        <v>0.28549157605785846</v>
      </c>
      <c r="D28" s="8">
        <v>0.1008</v>
      </c>
    </row>
    <row r="29" spans="2:4" x14ac:dyDescent="0.35">
      <c r="B29" s="4">
        <f t="shared" si="0"/>
        <v>0.55999999999999994</v>
      </c>
      <c r="C29" s="8">
        <v>0.29658213027760116</v>
      </c>
      <c r="D29" s="8">
        <v>0.10239999999999999</v>
      </c>
    </row>
    <row r="30" spans="2:4" x14ac:dyDescent="0.35">
      <c r="B30" s="4">
        <f t="shared" si="0"/>
        <v>0.6</v>
      </c>
      <c r="C30" s="8">
        <v>0.30834396378071033</v>
      </c>
      <c r="D30" s="8">
        <v>0.104</v>
      </c>
    </row>
    <row r="31" spans="2:4" x14ac:dyDescent="0.35">
      <c r="B31" s="4">
        <f t="shared" si="0"/>
        <v>0.64</v>
      </c>
      <c r="C31" s="8">
        <v>0.3207032272990093</v>
      </c>
      <c r="D31" s="8">
        <v>0.1056</v>
      </c>
    </row>
    <row r="32" spans="2:4" x14ac:dyDescent="0.35">
      <c r="B32" s="4">
        <f t="shared" si="0"/>
        <v>0.68</v>
      </c>
      <c r="C32" s="8">
        <v>0.33359352511702023</v>
      </c>
      <c r="D32" s="8">
        <v>0.1072</v>
      </c>
    </row>
    <row r="33" spans="2:4" x14ac:dyDescent="0.35">
      <c r="B33" s="4">
        <f t="shared" si="0"/>
        <v>0.72000000000000008</v>
      </c>
      <c r="C33" s="8">
        <v>0.34695567440236519</v>
      </c>
      <c r="D33" s="8">
        <v>0.10879999999999999</v>
      </c>
    </row>
    <row r="34" spans="2:4" x14ac:dyDescent="0.35">
      <c r="B34" s="4">
        <f t="shared" si="0"/>
        <v>0.76000000000000012</v>
      </c>
      <c r="C34" s="8">
        <v>0.3607372450967602</v>
      </c>
      <c r="D34" s="8">
        <v>0.11040000000000001</v>
      </c>
    </row>
    <row r="35" spans="2:4" x14ac:dyDescent="0.35">
      <c r="B35" s="4">
        <f t="shared" si="0"/>
        <v>0.80000000000000016</v>
      </c>
      <c r="C35" s="8">
        <v>0.37489198444351951</v>
      </c>
      <c r="D35" s="8">
        <v>0.112</v>
      </c>
    </row>
    <row r="36" spans="2:4" x14ac:dyDescent="0.35">
      <c r="B36" s="4">
        <f t="shared" si="0"/>
        <v>0.84000000000000019</v>
      </c>
      <c r="C36" s="8">
        <v>0.38937919821171763</v>
      </c>
      <c r="D36" s="8">
        <v>0.11360000000000001</v>
      </c>
    </row>
    <row r="37" spans="2:4" x14ac:dyDescent="0.35">
      <c r="B37" s="4">
        <f t="shared" si="0"/>
        <v>0.88000000000000023</v>
      </c>
      <c r="C37" s="8">
        <v>0.40416313537976228</v>
      </c>
      <c r="D37" s="8">
        <v>0.11520000000000001</v>
      </c>
    </row>
    <row r="38" spans="2:4" x14ac:dyDescent="0.35">
      <c r="B38" s="4">
        <f t="shared" si="0"/>
        <v>0.92000000000000026</v>
      </c>
      <c r="C38" s="8">
        <v>0.41921240439662577</v>
      </c>
      <c r="D38" s="8">
        <v>0.1168</v>
      </c>
    </row>
    <row r="39" spans="2:4" x14ac:dyDescent="0.35">
      <c r="B39" s="4">
        <f t="shared" si="0"/>
        <v>0.9600000000000003</v>
      </c>
      <c r="C39" s="8">
        <v>0.43449943613312103</v>
      </c>
      <c r="D39" s="8">
        <v>0.11840000000000001</v>
      </c>
    </row>
    <row r="40" spans="2:4" x14ac:dyDescent="0.35">
      <c r="B40" s="4">
        <f t="shared" si="0"/>
        <v>1.0000000000000002</v>
      </c>
      <c r="C40" s="8">
        <v>0.45000000000000012</v>
      </c>
      <c r="D40" s="8">
        <v>0.12000000000000001</v>
      </c>
    </row>
    <row r="41" spans="2:4" x14ac:dyDescent="0.35">
      <c r="C41" t="str">
        <f ca="1">gformula(C15)</f>
        <v>&lt;--  { =TABLE(,E2)}</v>
      </c>
    </row>
  </sheetData>
  <mergeCells count="7">
    <mergeCell ref="B10:I10"/>
    <mergeCell ref="B7:D7"/>
    <mergeCell ref="B2:D2"/>
    <mergeCell ref="B3:D3"/>
    <mergeCell ref="B4:D4"/>
    <mergeCell ref="B5:D5"/>
    <mergeCell ref="B6:D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3:W19"/>
  <sheetViews>
    <sheetView workbookViewId="0">
      <selection activeCell="M15" sqref="M15"/>
    </sheetView>
  </sheetViews>
  <sheetFormatPr defaultRowHeight="14.5" x14ac:dyDescent="0.35"/>
  <cols>
    <col min="2" max="2" width="13.7265625" bestFit="1" customWidth="1"/>
    <col min="3" max="3" width="14.90625" bestFit="1" customWidth="1"/>
    <col min="4" max="4" width="13.90625" bestFit="1" customWidth="1"/>
    <col min="5" max="5" width="19.81640625" bestFit="1" customWidth="1"/>
    <col min="6" max="9" width="6.81640625" bestFit="1" customWidth="1"/>
    <col min="10" max="10" width="2.7265625" customWidth="1"/>
    <col min="11" max="11" width="12.08984375" bestFit="1" customWidth="1"/>
    <col min="12" max="12" width="13.81640625" bestFit="1" customWidth="1"/>
  </cols>
  <sheetData>
    <row r="3" spans="2:23" x14ac:dyDescent="0.35">
      <c r="C3" s="4" t="s">
        <v>24</v>
      </c>
      <c r="D3" s="4" t="s">
        <v>22</v>
      </c>
      <c r="E3" s="4" t="s">
        <v>23</v>
      </c>
    </row>
    <row r="4" spans="2:23" x14ac:dyDescent="0.35">
      <c r="B4" s="4"/>
      <c r="C4" s="6" t="s">
        <v>0</v>
      </c>
      <c r="D4" s="6" t="s">
        <v>1</v>
      </c>
      <c r="E4" s="12" t="s">
        <v>2</v>
      </c>
      <c r="K4" s="105" t="s">
        <v>117</v>
      </c>
      <c r="L4" s="105"/>
    </row>
    <row r="5" spans="2:23" x14ac:dyDescent="0.35">
      <c r="B5" s="4" t="s">
        <v>18</v>
      </c>
      <c r="C5" s="8">
        <f t="array" ref="C5">AVERAGE(Mkt_RF)/100</f>
        <v>2.7442307692307688E-3</v>
      </c>
      <c r="D5" s="8">
        <f t="array" ref="D5">AVERAGE(SMB)/100</f>
        <v>2.2067307692307696E-4</v>
      </c>
      <c r="E5" s="8">
        <f t="array" ref="E5">AVERAGE(HML)/100</f>
        <v>3.3076923076923116E-4</v>
      </c>
      <c r="K5" s="13" t="s">
        <v>25</v>
      </c>
      <c r="L5" s="8">
        <v>7.5999999999999998E-2</v>
      </c>
    </row>
    <row r="6" spans="2:23" x14ac:dyDescent="0.35">
      <c r="B6" s="4" t="s">
        <v>19</v>
      </c>
      <c r="C6" s="8">
        <f t="array" ref="C6">_xlfn.STDEV.S(Mkt_RF)/100</f>
        <v>1.7031300124960756E-2</v>
      </c>
      <c r="D6" s="8">
        <f t="array" ref="D6">_xlfn.STDEV.S(SMB)/100</f>
        <v>1.0640048560096147E-2</v>
      </c>
      <c r="E6" s="8">
        <f t="array" ref="E6">_xlfn.STDEV.S(HML)/100</f>
        <v>1.0265443903497809E-2</v>
      </c>
      <c r="K6" s="4" t="s">
        <v>26</v>
      </c>
      <c r="L6" s="9">
        <v>0.17499999999999999</v>
      </c>
    </row>
    <row r="7" spans="2:23" x14ac:dyDescent="0.35">
      <c r="B7" s="4" t="s">
        <v>20</v>
      </c>
      <c r="C7" s="8">
        <f t="shared" ref="C7:D7" si="0">C5*52</f>
        <v>0.14269999999999997</v>
      </c>
      <c r="D7" s="8">
        <f t="shared" si="0"/>
        <v>1.1475000000000003E-2</v>
      </c>
      <c r="E7" s="8">
        <f t="shared" ref="E7" si="1">E5*52</f>
        <v>1.7200000000000021E-2</v>
      </c>
    </row>
    <row r="8" spans="2:23" x14ac:dyDescent="0.35">
      <c r="B8" s="4" t="s">
        <v>21</v>
      </c>
      <c r="C8" s="8">
        <f t="shared" ref="C8:D8" si="2">C6*(52)^0.5</f>
        <v>0.12281445177672451</v>
      </c>
      <c r="D8" s="8">
        <f t="shared" si="2"/>
        <v>7.6726481313706893E-2</v>
      </c>
      <c r="E8" s="8">
        <f t="shared" ref="E8" si="3">E6*(52)^0.5</f>
        <v>7.4025168718921106E-2</v>
      </c>
    </row>
    <row r="12" spans="2:23" x14ac:dyDescent="0.35">
      <c r="C12" s="58"/>
      <c r="D12" s="58"/>
      <c r="E12" s="58"/>
      <c r="F12" s="58"/>
      <c r="G12" s="58"/>
      <c r="H12" s="58"/>
      <c r="I12" s="58"/>
    </row>
    <row r="13" spans="2:23" x14ac:dyDescent="0.35">
      <c r="C13" s="58"/>
      <c r="D13" s="58"/>
      <c r="E13" s="58"/>
      <c r="F13" s="58"/>
      <c r="G13" s="58"/>
      <c r="H13" s="58"/>
      <c r="I13" s="58"/>
      <c r="W13" s="17"/>
    </row>
    <row r="14" spans="2:23" x14ac:dyDescent="0.35">
      <c r="C14" s="58"/>
      <c r="D14" s="58"/>
      <c r="E14" s="58"/>
      <c r="F14" s="58"/>
      <c r="G14" s="58"/>
      <c r="H14" s="58"/>
      <c r="I14" s="58"/>
      <c r="W14" s="18"/>
    </row>
    <row r="15" spans="2:23" x14ac:dyDescent="0.35">
      <c r="C15" s="58"/>
      <c r="D15" s="58"/>
      <c r="E15" s="58"/>
      <c r="F15" s="58"/>
      <c r="G15" s="58"/>
      <c r="H15" s="58"/>
      <c r="I15" s="58"/>
      <c r="W15" s="19"/>
    </row>
    <row r="16" spans="2:23" x14ac:dyDescent="0.35">
      <c r="C16" s="58"/>
      <c r="D16" s="58"/>
      <c r="E16" s="58"/>
      <c r="F16" s="58"/>
      <c r="G16" s="58"/>
      <c r="H16" s="58"/>
      <c r="I16" s="58"/>
      <c r="W16" s="19"/>
    </row>
    <row r="17" spans="3:23" x14ac:dyDescent="0.35">
      <c r="C17" s="58"/>
      <c r="D17" s="58"/>
      <c r="E17" s="58"/>
      <c r="F17" s="58"/>
      <c r="G17" s="58"/>
      <c r="H17" s="58"/>
      <c r="I17" s="58"/>
      <c r="W17" s="19"/>
    </row>
    <row r="18" spans="3:23" x14ac:dyDescent="0.35">
      <c r="C18" s="58"/>
      <c r="D18" s="58"/>
      <c r="E18" s="58"/>
      <c r="F18" s="58"/>
      <c r="G18" s="58"/>
      <c r="H18" s="58"/>
      <c r="I18" s="58"/>
      <c r="W18" s="19"/>
    </row>
    <row r="19" spans="3:23" x14ac:dyDescent="0.35">
      <c r="C19" s="58"/>
      <c r="D19" s="58"/>
      <c r="E19" s="58"/>
      <c r="F19" s="58"/>
      <c r="G19" s="58"/>
      <c r="H19" s="58"/>
      <c r="I19" s="58"/>
    </row>
  </sheetData>
  <mergeCells count="1">
    <mergeCell ref="K4:L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232"/>
  <sheetViews>
    <sheetView workbookViewId="0">
      <selection activeCell="C1" sqref="C1"/>
    </sheetView>
  </sheetViews>
  <sheetFormatPr defaultRowHeight="14.5" x14ac:dyDescent="0.35"/>
  <cols>
    <col min="1" max="1" width="16.36328125" bestFit="1" customWidth="1"/>
    <col min="2" max="2" width="15.36328125" bestFit="1" customWidth="1"/>
    <col min="3" max="3" width="13.54296875" bestFit="1" customWidth="1"/>
    <col min="4" max="4" width="16.6328125" bestFit="1" customWidth="1"/>
    <col min="5" max="5" width="7.54296875" bestFit="1" customWidth="1"/>
    <col min="6" max="6" width="12.453125" bestFit="1" customWidth="1"/>
    <col min="7" max="7" width="12.26953125" bestFit="1" customWidth="1"/>
    <col min="8" max="9" width="12" bestFit="1" customWidth="1"/>
    <col min="10" max="10" width="11.453125" bestFit="1" customWidth="1"/>
    <col min="11" max="11" width="6.36328125" bestFit="1" customWidth="1"/>
  </cols>
  <sheetData>
    <row r="1" spans="1:11" x14ac:dyDescent="0.35">
      <c r="A1" s="106" t="s">
        <v>104</v>
      </c>
      <c r="B1" s="106"/>
    </row>
    <row r="2" spans="1:11" ht="15" thickBot="1" x14ac:dyDescent="0.4"/>
    <row r="3" spans="1:11" x14ac:dyDescent="0.35">
      <c r="A3" s="23" t="s">
        <v>27</v>
      </c>
      <c r="B3" s="23"/>
      <c r="D3" s="4" t="s">
        <v>57</v>
      </c>
      <c r="E3" s="89">
        <f>B7</f>
        <v>4.3215496306630472</v>
      </c>
      <c r="F3" s="26"/>
      <c r="G3" s="89" t="s">
        <v>53</v>
      </c>
      <c r="H3" s="89">
        <f>(C14/B14)^0.5</f>
        <v>4.8029421110349881</v>
      </c>
      <c r="I3" s="26"/>
      <c r="J3" s="99" t="s">
        <v>55</v>
      </c>
      <c r="K3" s="89">
        <f>B18</f>
        <v>1.243143341949537</v>
      </c>
    </row>
    <row r="4" spans="1:11" x14ac:dyDescent="0.35">
      <c r="A4" s="20" t="s">
        <v>28</v>
      </c>
      <c r="B4" s="83">
        <v>0.44082037354655568</v>
      </c>
      <c r="D4" s="4" t="s">
        <v>56</v>
      </c>
      <c r="E4" s="89">
        <f>E3*(52)^0.5</f>
        <v>31.163137565636163</v>
      </c>
      <c r="F4" s="26"/>
      <c r="G4" s="89" t="s">
        <v>54</v>
      </c>
      <c r="H4" s="89">
        <f>H3*(52)^0.5</f>
        <v>34.634508108843811</v>
      </c>
      <c r="I4" s="26"/>
      <c r="J4" s="26"/>
      <c r="K4" s="26"/>
    </row>
    <row r="5" spans="1:11" x14ac:dyDescent="0.35">
      <c r="A5" s="20" t="s">
        <v>29</v>
      </c>
      <c r="B5" s="83">
        <v>0.1943226017337249</v>
      </c>
    </row>
    <row r="6" spans="1:11" x14ac:dyDescent="0.35">
      <c r="A6" s="20" t="s">
        <v>30</v>
      </c>
      <c r="B6" s="83">
        <v>0.19041154640233524</v>
      </c>
    </row>
    <row r="7" spans="1:11" x14ac:dyDescent="0.35">
      <c r="A7" s="20" t="s">
        <v>31</v>
      </c>
      <c r="B7" s="84">
        <v>4.3215496306630472</v>
      </c>
    </row>
    <row r="8" spans="1:11" ht="15" thickBot="1" x14ac:dyDescent="0.4">
      <c r="A8" s="21" t="s">
        <v>32</v>
      </c>
      <c r="B8" s="56">
        <v>208</v>
      </c>
    </row>
    <row r="10" spans="1:11" ht="15" thickBot="1" x14ac:dyDescent="0.4">
      <c r="A10" t="s">
        <v>33</v>
      </c>
    </row>
    <row r="11" spans="1:11" x14ac:dyDescent="0.35">
      <c r="A11" s="22"/>
      <c r="B11" s="22" t="s">
        <v>38</v>
      </c>
      <c r="C11" s="22" t="s">
        <v>39</v>
      </c>
      <c r="D11" s="22" t="s">
        <v>40</v>
      </c>
      <c r="E11" s="22" t="s">
        <v>41</v>
      </c>
      <c r="F11" s="22" t="s">
        <v>42</v>
      </c>
    </row>
    <row r="12" spans="1:11" x14ac:dyDescent="0.35">
      <c r="A12" s="20" t="s">
        <v>34</v>
      </c>
      <c r="B12" s="20">
        <v>1</v>
      </c>
      <c r="C12" s="83">
        <v>927.9153655258292</v>
      </c>
      <c r="D12" s="83">
        <v>927.9153655258292</v>
      </c>
      <c r="E12" s="83">
        <v>49.685464732271569</v>
      </c>
      <c r="F12" s="83">
        <v>2.6702550887585022E-11</v>
      </c>
      <c r="G12" s="26"/>
      <c r="H12" s="26"/>
      <c r="I12" s="26"/>
    </row>
    <row r="13" spans="1:11" x14ac:dyDescent="0.35">
      <c r="A13" s="20" t="s">
        <v>35</v>
      </c>
      <c r="B13" s="20">
        <v>206</v>
      </c>
      <c r="C13" s="83">
        <v>3847.2129893184879</v>
      </c>
      <c r="D13" s="83">
        <v>18.675791210283922</v>
      </c>
      <c r="E13" s="83"/>
      <c r="F13" s="83"/>
      <c r="G13" s="26"/>
      <c r="H13" s="26"/>
      <c r="I13" s="26"/>
    </row>
    <row r="14" spans="1:11" ht="15" thickBot="1" x14ac:dyDescent="0.4">
      <c r="A14" s="21" t="s">
        <v>36</v>
      </c>
      <c r="B14" s="24">
        <v>207</v>
      </c>
      <c r="C14" s="85">
        <v>4775.1283548443171</v>
      </c>
      <c r="D14" s="87"/>
      <c r="E14" s="87"/>
      <c r="F14" s="87"/>
      <c r="G14" s="26"/>
      <c r="H14" s="26"/>
      <c r="I14" s="26"/>
    </row>
    <row r="15" spans="1:11" ht="15" thickBot="1" x14ac:dyDescent="0.4">
      <c r="C15" s="26"/>
      <c r="D15" s="26"/>
      <c r="E15" s="26"/>
      <c r="F15" s="26"/>
      <c r="G15" s="26"/>
      <c r="H15" s="26"/>
      <c r="I15" s="26"/>
    </row>
    <row r="16" spans="1:11" x14ac:dyDescent="0.35">
      <c r="A16" s="22"/>
      <c r="B16" s="22" t="s">
        <v>43</v>
      </c>
      <c r="C16" s="100" t="s">
        <v>31</v>
      </c>
      <c r="D16" s="100" t="s">
        <v>44</v>
      </c>
      <c r="E16" s="100" t="s">
        <v>45</v>
      </c>
      <c r="F16" s="100" t="s">
        <v>46</v>
      </c>
      <c r="G16" s="100" t="s">
        <v>47</v>
      </c>
      <c r="H16" s="100" t="s">
        <v>48</v>
      </c>
      <c r="I16" s="100" t="s">
        <v>49</v>
      </c>
    </row>
    <row r="17" spans="1:9" x14ac:dyDescent="0.35">
      <c r="A17" s="20" t="s">
        <v>37</v>
      </c>
      <c r="B17" s="83">
        <v>1.9668247755333934E-3</v>
      </c>
      <c r="C17" s="83">
        <v>0.30352894654148055</v>
      </c>
      <c r="D17" s="83">
        <v>6.4798589984385729E-3</v>
      </c>
      <c r="E17" s="83">
        <v>0.99483612752090222</v>
      </c>
      <c r="F17" s="83">
        <v>-0.59645465885854088</v>
      </c>
      <c r="G17" s="83">
        <v>0.60038830840960755</v>
      </c>
      <c r="H17" s="83">
        <v>-0.59645465885854088</v>
      </c>
      <c r="I17" s="83">
        <v>0.60038830840960755</v>
      </c>
    </row>
    <row r="18" spans="1:9" ht="15" thickBot="1" x14ac:dyDescent="0.4">
      <c r="A18" s="21" t="s">
        <v>91</v>
      </c>
      <c r="B18" s="85">
        <v>1.243143341949537</v>
      </c>
      <c r="C18" s="87">
        <v>0.17636261519374161</v>
      </c>
      <c r="D18" s="87">
        <v>7.0487917214421705</v>
      </c>
      <c r="E18" s="87">
        <v>2.6702550887583859E-11</v>
      </c>
      <c r="F18" s="87">
        <v>0.89543621534966555</v>
      </c>
      <c r="G18" s="87">
        <v>1.5908504685494085</v>
      </c>
      <c r="H18" s="87">
        <v>0.89543621534966555</v>
      </c>
      <c r="I18" s="87">
        <v>1.5908504685494085</v>
      </c>
    </row>
    <row r="22" spans="1:9" x14ac:dyDescent="0.35">
      <c r="A22" t="s">
        <v>50</v>
      </c>
    </row>
    <row r="23" spans="1:9" ht="15" thickBot="1" x14ac:dyDescent="0.4"/>
    <row r="24" spans="1:9" x14ac:dyDescent="0.35">
      <c r="A24" s="22" t="s">
        <v>51</v>
      </c>
      <c r="B24" s="22" t="s">
        <v>97</v>
      </c>
      <c r="C24" s="25" t="s">
        <v>52</v>
      </c>
    </row>
    <row r="25" spans="1:9" x14ac:dyDescent="0.35">
      <c r="A25" s="20">
        <v>1</v>
      </c>
      <c r="B25" s="83">
        <v>2.0407219055727741</v>
      </c>
      <c r="C25" s="83">
        <v>-5.8381654204227482</v>
      </c>
    </row>
    <row r="26" spans="1:9" x14ac:dyDescent="0.35">
      <c r="A26" s="20">
        <v>2</v>
      </c>
      <c r="B26" s="83">
        <v>1.6056217358904361</v>
      </c>
      <c r="C26" s="83">
        <v>-2.2949628521465222</v>
      </c>
    </row>
    <row r="27" spans="1:9" x14ac:dyDescent="0.35">
      <c r="A27" s="20">
        <v>3</v>
      </c>
      <c r="B27" s="83">
        <v>5.8074462316798714</v>
      </c>
      <c r="C27" s="83">
        <v>8.3623216535704223</v>
      </c>
    </row>
    <row r="28" spans="1:9" x14ac:dyDescent="0.35">
      <c r="A28" s="20">
        <v>4</v>
      </c>
      <c r="B28" s="83">
        <v>-2.3475740915090912</v>
      </c>
      <c r="C28" s="83">
        <v>-2.5263421730251867E-2</v>
      </c>
    </row>
    <row r="29" spans="1:9" x14ac:dyDescent="0.35">
      <c r="A29" s="20">
        <v>5</v>
      </c>
      <c r="B29" s="83">
        <v>-0.95525354852561017</v>
      </c>
      <c r="C29" s="83">
        <v>-1.4901356698985766</v>
      </c>
    </row>
    <row r="30" spans="1:9" x14ac:dyDescent="0.35">
      <c r="A30" s="20">
        <v>6</v>
      </c>
      <c r="B30" s="83">
        <v>0.52408702839433885</v>
      </c>
      <c r="C30" s="83">
        <v>-0.4764673071935473</v>
      </c>
    </row>
    <row r="31" spans="1:9" x14ac:dyDescent="0.35">
      <c r="A31" s="20">
        <v>7</v>
      </c>
      <c r="B31" s="83">
        <v>-1.3903537182079482</v>
      </c>
      <c r="C31" s="83">
        <v>-3.6777207680404205</v>
      </c>
    </row>
    <row r="32" spans="1:9" x14ac:dyDescent="0.35">
      <c r="A32" s="20">
        <v>8</v>
      </c>
      <c r="B32" s="83">
        <v>-0.70662488013570268</v>
      </c>
      <c r="C32" s="83">
        <v>-1.7028459442135713</v>
      </c>
    </row>
    <row r="33" spans="1:3" x14ac:dyDescent="0.35">
      <c r="A33" s="20">
        <v>9</v>
      </c>
      <c r="B33" s="83">
        <v>0.26302692658493615</v>
      </c>
      <c r="C33" s="83">
        <v>-0.12416346926006425</v>
      </c>
    </row>
    <row r="34" spans="1:3" x14ac:dyDescent="0.35">
      <c r="A34" s="20">
        <v>10</v>
      </c>
      <c r="B34" s="83">
        <v>1.5683274356319501</v>
      </c>
      <c r="C34" s="83">
        <v>1.0423160295527576</v>
      </c>
    </row>
    <row r="35" spans="1:3" x14ac:dyDescent="0.35">
      <c r="A35" s="20">
        <v>11</v>
      </c>
      <c r="B35" s="83">
        <v>0.69812709626727409</v>
      </c>
      <c r="C35" s="83">
        <v>2.0975433839203705</v>
      </c>
    </row>
    <row r="36" spans="1:3" x14ac:dyDescent="0.35">
      <c r="A36" s="20">
        <v>12</v>
      </c>
      <c r="B36" s="83">
        <v>-2.8572628617084015</v>
      </c>
      <c r="C36" s="83">
        <v>-2.8866503469162672</v>
      </c>
    </row>
    <row r="37" spans="1:3" x14ac:dyDescent="0.35">
      <c r="A37" s="20">
        <v>13</v>
      </c>
      <c r="B37" s="83">
        <v>0.87216716414020934</v>
      </c>
      <c r="C37" s="83">
        <v>0.86630948730838941</v>
      </c>
    </row>
    <row r="38" spans="1:3" x14ac:dyDescent="0.35">
      <c r="A38" s="20">
        <v>14</v>
      </c>
      <c r="B38" s="83">
        <v>-0.65689914645772118</v>
      </c>
      <c r="C38" s="83">
        <v>-2.1131606378411756</v>
      </c>
    </row>
    <row r="39" spans="1:3" x14ac:dyDescent="0.35">
      <c r="A39" s="20">
        <v>15</v>
      </c>
      <c r="B39" s="83">
        <v>0.18843832606796393</v>
      </c>
      <c r="C39" s="83">
        <v>0.71659443073350648</v>
      </c>
    </row>
    <row r="40" spans="1:3" x14ac:dyDescent="0.35">
      <c r="A40" s="20">
        <v>16</v>
      </c>
      <c r="B40" s="83">
        <v>0.22573262632645005</v>
      </c>
      <c r="C40" s="83">
        <v>-0.87210298571592548</v>
      </c>
    </row>
    <row r="41" spans="1:3" x14ac:dyDescent="0.35">
      <c r="A41" s="20">
        <v>17</v>
      </c>
      <c r="B41" s="83">
        <v>0.69812709626727409</v>
      </c>
      <c r="C41" s="83">
        <v>7.8944833459185606</v>
      </c>
    </row>
    <row r="42" spans="1:3" x14ac:dyDescent="0.35">
      <c r="A42" s="20">
        <v>18</v>
      </c>
      <c r="B42" s="83">
        <v>8.8986858712000988E-2</v>
      </c>
      <c r="C42" s="83">
        <v>0.65033259422266643</v>
      </c>
    </row>
    <row r="43" spans="1:3" x14ac:dyDescent="0.35">
      <c r="A43" s="20">
        <v>19</v>
      </c>
      <c r="B43" s="83">
        <v>0.74785282994525559</v>
      </c>
      <c r="C43" s="83">
        <v>9.2833001661076775</v>
      </c>
    </row>
    <row r="44" spans="1:3" x14ac:dyDescent="0.35">
      <c r="A44" s="20">
        <v>20</v>
      </c>
      <c r="B44" s="83">
        <v>1.9909961718947926</v>
      </c>
      <c r="C44" s="83">
        <v>1.5227347693448392</v>
      </c>
    </row>
    <row r="45" spans="1:3" x14ac:dyDescent="0.35">
      <c r="A45" s="20">
        <v>21</v>
      </c>
      <c r="B45" s="83">
        <v>1.7175046366658944</v>
      </c>
      <c r="C45" s="83">
        <v>0.79193397607765559</v>
      </c>
    </row>
    <row r="46" spans="1:3" x14ac:dyDescent="0.35">
      <c r="A46" s="20">
        <v>22</v>
      </c>
      <c r="B46" s="83">
        <v>3.9054369184970801</v>
      </c>
      <c r="C46" s="83">
        <v>2.8589347724146386</v>
      </c>
    </row>
    <row r="47" spans="1:3" x14ac:dyDescent="0.35">
      <c r="A47" s="20">
        <v>23</v>
      </c>
      <c r="B47" s="83">
        <v>-1.9870625223437259</v>
      </c>
      <c r="C47" s="83">
        <v>-1.9522688279609182</v>
      </c>
    </row>
    <row r="48" spans="1:3" x14ac:dyDescent="0.35">
      <c r="A48" s="20">
        <v>24</v>
      </c>
      <c r="B48" s="83">
        <v>-1.4898051855639109</v>
      </c>
      <c r="C48" s="83">
        <v>-1.7859153138460777</v>
      </c>
    </row>
    <row r="49" spans="1:3" x14ac:dyDescent="0.35">
      <c r="A49" s="20">
        <v>25</v>
      </c>
      <c r="B49" s="83">
        <v>-0.30881901071185086</v>
      </c>
      <c r="C49" s="83">
        <v>-16.17756879342404</v>
      </c>
    </row>
    <row r="50" spans="1:3" x14ac:dyDescent="0.35">
      <c r="A50" s="20">
        <v>26</v>
      </c>
      <c r="B50" s="83">
        <v>0.20086975948745933</v>
      </c>
      <c r="C50" s="83">
        <v>2.3910447850522436</v>
      </c>
    </row>
    <row r="51" spans="1:3" x14ac:dyDescent="0.35">
      <c r="A51" s="20">
        <v>27</v>
      </c>
      <c r="B51" s="83">
        <v>3.0228051457129088</v>
      </c>
      <c r="C51" s="83">
        <v>3.9786143586018397</v>
      </c>
    </row>
    <row r="52" spans="1:3" x14ac:dyDescent="0.35">
      <c r="A52" s="20">
        <v>28</v>
      </c>
      <c r="B52" s="83">
        <v>0.67326422942828335</v>
      </c>
      <c r="C52" s="83">
        <v>-5.6122999987756605E-2</v>
      </c>
    </row>
    <row r="53" spans="1:3" x14ac:dyDescent="0.35">
      <c r="A53" s="20">
        <v>29</v>
      </c>
      <c r="B53" s="83">
        <v>-0.64446771303822592</v>
      </c>
      <c r="C53" s="83">
        <v>4.0299306323647976E-2</v>
      </c>
    </row>
    <row r="54" spans="1:3" x14ac:dyDescent="0.35">
      <c r="A54" s="20">
        <v>30</v>
      </c>
      <c r="B54" s="83">
        <v>-0.78121348065267493</v>
      </c>
      <c r="C54" s="83">
        <v>-3.4481880923930524</v>
      </c>
    </row>
    <row r="55" spans="1:3" x14ac:dyDescent="0.35">
      <c r="A55" s="20">
        <v>31</v>
      </c>
      <c r="B55" s="83">
        <v>-1.4773737521444157</v>
      </c>
      <c r="C55" s="83">
        <v>-1.2897872621849085</v>
      </c>
    </row>
    <row r="56" spans="1:3" x14ac:dyDescent="0.35">
      <c r="A56" s="20">
        <v>32</v>
      </c>
      <c r="B56" s="83">
        <v>0.92189289781819084</v>
      </c>
      <c r="C56" s="83">
        <v>4.2296464220267147</v>
      </c>
    </row>
    <row r="57" spans="1:3" x14ac:dyDescent="0.35">
      <c r="A57" s="20">
        <v>33</v>
      </c>
      <c r="B57" s="83">
        <v>2.4136649081576351</v>
      </c>
      <c r="C57" s="83">
        <v>-3.2797004899799962</v>
      </c>
    </row>
    <row r="58" spans="1:3" x14ac:dyDescent="0.35">
      <c r="A58" s="20">
        <v>34</v>
      </c>
      <c r="B58" s="83">
        <v>-1.4525108853054249</v>
      </c>
      <c r="C58" s="83">
        <v>5.3239943807139838</v>
      </c>
    </row>
    <row r="59" spans="1:3" x14ac:dyDescent="0.35">
      <c r="A59" s="20">
        <v>35</v>
      </c>
      <c r="B59" s="83">
        <v>2.5628421091915801</v>
      </c>
      <c r="C59" s="83">
        <v>-0.29391134694677712</v>
      </c>
    </row>
    <row r="60" spans="1:3" x14ac:dyDescent="0.35">
      <c r="A60" s="20">
        <v>36</v>
      </c>
      <c r="B60" s="83">
        <v>-0.99254784878409619</v>
      </c>
      <c r="C60" s="83">
        <v>2.5346548903617578</v>
      </c>
    </row>
    <row r="61" spans="1:3" x14ac:dyDescent="0.35">
      <c r="A61" s="20">
        <v>37</v>
      </c>
      <c r="B61" s="83">
        <v>1.7672303703438759</v>
      </c>
      <c r="C61" s="83">
        <v>-5.282733911051066</v>
      </c>
    </row>
    <row r="62" spans="1:3" x14ac:dyDescent="0.35">
      <c r="A62" s="20">
        <v>38</v>
      </c>
      <c r="B62" s="83">
        <v>1.2451101667250704</v>
      </c>
      <c r="C62" s="83">
        <v>-2.8541821651508865</v>
      </c>
    </row>
    <row r="63" spans="1:3" x14ac:dyDescent="0.35">
      <c r="A63" s="20">
        <v>39</v>
      </c>
      <c r="B63" s="83">
        <v>3.8308483179801076</v>
      </c>
      <c r="C63" s="83">
        <v>-4.0440076605304114</v>
      </c>
    </row>
    <row r="64" spans="1:3" x14ac:dyDescent="0.35">
      <c r="A64" s="20">
        <v>40</v>
      </c>
      <c r="B64" s="83">
        <v>2.2893505739626816</v>
      </c>
      <c r="C64" s="83">
        <v>-1.1191878384753853</v>
      </c>
    </row>
    <row r="65" spans="1:3" x14ac:dyDescent="0.35">
      <c r="A65" s="20">
        <v>41</v>
      </c>
      <c r="B65" s="83">
        <v>3.8432797513996029</v>
      </c>
      <c r="C65" s="83">
        <v>1.7290348218139826</v>
      </c>
    </row>
    <row r="66" spans="1:3" x14ac:dyDescent="0.35">
      <c r="A66" s="20">
        <v>42</v>
      </c>
      <c r="B66" s="83">
        <v>-1.0174107156230869</v>
      </c>
      <c r="C66" s="83">
        <v>-5.5015862946412142</v>
      </c>
    </row>
    <row r="67" spans="1:3" x14ac:dyDescent="0.35">
      <c r="A67" s="20">
        <v>43</v>
      </c>
      <c r="B67" s="83">
        <v>-4.1749948041749105</v>
      </c>
      <c r="C67" s="83">
        <v>0.74270067168413645</v>
      </c>
    </row>
    <row r="68" spans="1:3" x14ac:dyDescent="0.35">
      <c r="A68" s="20">
        <v>44</v>
      </c>
      <c r="B68" s="83">
        <v>2.1277419395092418</v>
      </c>
      <c r="C68" s="83">
        <v>-0.60198614052333599</v>
      </c>
    </row>
    <row r="69" spans="1:3" x14ac:dyDescent="0.35">
      <c r="A69" s="20">
        <v>45</v>
      </c>
      <c r="B69" s="83">
        <v>1.7175046366658944</v>
      </c>
      <c r="C69" s="83">
        <v>-3.3460869256630135</v>
      </c>
    </row>
    <row r="70" spans="1:3" x14ac:dyDescent="0.35">
      <c r="A70" s="20">
        <v>46</v>
      </c>
      <c r="B70" s="83">
        <v>-3.1680486971957857</v>
      </c>
      <c r="C70" s="83">
        <v>0.54457809453843575</v>
      </c>
    </row>
    <row r="71" spans="1:3" x14ac:dyDescent="0.35">
      <c r="A71" s="20">
        <v>47</v>
      </c>
      <c r="B71" s="83">
        <v>-7.7303847621505861</v>
      </c>
      <c r="C71" s="83">
        <v>-1.0549896276705448</v>
      </c>
    </row>
    <row r="72" spans="1:3" x14ac:dyDescent="0.35">
      <c r="A72" s="20">
        <v>48</v>
      </c>
      <c r="B72" s="83">
        <v>-1.1168621829790499</v>
      </c>
      <c r="C72" s="83">
        <v>2.4480029298025165</v>
      </c>
    </row>
    <row r="73" spans="1:3" x14ac:dyDescent="0.35">
      <c r="A73" s="20">
        <v>49</v>
      </c>
      <c r="B73" s="83">
        <v>3.5200624824927234</v>
      </c>
      <c r="C73" s="83">
        <v>-0.5278367485026112</v>
      </c>
    </row>
    <row r="74" spans="1:3" x14ac:dyDescent="0.35">
      <c r="A74" s="20">
        <v>50</v>
      </c>
      <c r="B74" s="83">
        <v>-0.43313334490680455</v>
      </c>
      <c r="C74" s="83">
        <v>3.86649394097899</v>
      </c>
    </row>
    <row r="75" spans="1:3" x14ac:dyDescent="0.35">
      <c r="A75" s="20">
        <v>51</v>
      </c>
      <c r="B75" s="83">
        <v>-4.8835865090861468</v>
      </c>
      <c r="C75" s="83">
        <v>4.5319319695777205</v>
      </c>
    </row>
    <row r="76" spans="1:3" x14ac:dyDescent="0.35">
      <c r="A76" s="20">
        <v>52</v>
      </c>
      <c r="B76" s="83">
        <v>-0.23423041019487864</v>
      </c>
      <c r="C76" s="83">
        <v>-2.8019207662886711</v>
      </c>
    </row>
    <row r="77" spans="1:3" x14ac:dyDescent="0.35">
      <c r="A77" s="20">
        <v>53</v>
      </c>
      <c r="B77" s="83">
        <v>0.47436129471635746</v>
      </c>
      <c r="C77" s="83">
        <v>0.57029234408589324</v>
      </c>
    </row>
    <row r="78" spans="1:3" x14ac:dyDescent="0.35">
      <c r="A78" s="20">
        <v>54</v>
      </c>
      <c r="B78" s="83">
        <v>3.9054369184970801</v>
      </c>
      <c r="C78" s="83">
        <v>-2.0559465495778655</v>
      </c>
    </row>
    <row r="79" spans="1:3" x14ac:dyDescent="0.35">
      <c r="A79" s="20">
        <v>55</v>
      </c>
      <c r="B79" s="83">
        <v>-4.6225264072767445</v>
      </c>
      <c r="C79" s="83">
        <v>0.9981755075595049</v>
      </c>
    </row>
    <row r="80" spans="1:3" x14ac:dyDescent="0.35">
      <c r="A80" s="20">
        <v>56</v>
      </c>
      <c r="B80" s="83">
        <v>1.7175046366658944</v>
      </c>
      <c r="C80" s="83">
        <v>-6.6196582816820282E-2</v>
      </c>
    </row>
    <row r="81" spans="1:3" x14ac:dyDescent="0.35">
      <c r="A81" s="20">
        <v>57</v>
      </c>
      <c r="B81" s="83">
        <v>0.21330119290695471</v>
      </c>
      <c r="C81" s="83">
        <v>4.5523653250305172</v>
      </c>
    </row>
    <row r="82" spans="1:3" x14ac:dyDescent="0.35">
      <c r="A82" s="20">
        <v>58</v>
      </c>
      <c r="B82" s="83">
        <v>2.1153105060897466</v>
      </c>
      <c r="C82" s="83">
        <v>-0.43331544050322135</v>
      </c>
    </row>
    <row r="83" spans="1:3" x14ac:dyDescent="0.35">
      <c r="A83" s="20">
        <v>59</v>
      </c>
      <c r="B83" s="83">
        <v>0.77271569678424634</v>
      </c>
      <c r="C83" s="83">
        <v>0.41282475453850553</v>
      </c>
    </row>
    <row r="84" spans="1:3" x14ac:dyDescent="0.35">
      <c r="A84" s="20">
        <v>60</v>
      </c>
      <c r="B84" s="83">
        <v>4.2783799210819407</v>
      </c>
      <c r="C84" s="83">
        <v>-11.856489851242671</v>
      </c>
    </row>
    <row r="85" spans="1:3" x14ac:dyDescent="0.35">
      <c r="A85" s="20">
        <v>61</v>
      </c>
      <c r="B85" s="83">
        <v>0.90946146439869535</v>
      </c>
      <c r="C85" s="83">
        <v>1.0240399674737293</v>
      </c>
    </row>
    <row r="86" spans="1:3" x14ac:dyDescent="0.35">
      <c r="A86" s="20">
        <v>62</v>
      </c>
      <c r="B86" s="83">
        <v>-2.1983968904751472</v>
      </c>
      <c r="C86" s="83">
        <v>-7.7788444885942027</v>
      </c>
    </row>
    <row r="87" spans="1:3" x14ac:dyDescent="0.35">
      <c r="A87" s="20">
        <v>63</v>
      </c>
      <c r="B87" s="83">
        <v>-0.18450467651689714</v>
      </c>
      <c r="C87" s="83">
        <v>-3.7697811934371467E-2</v>
      </c>
    </row>
    <row r="88" spans="1:3" x14ac:dyDescent="0.35">
      <c r="A88" s="20">
        <v>64</v>
      </c>
      <c r="B88" s="83">
        <v>2.6001364094500659</v>
      </c>
      <c r="C88" s="83">
        <v>1.6457565518681028</v>
      </c>
    </row>
    <row r="89" spans="1:3" x14ac:dyDescent="0.35">
      <c r="A89" s="20">
        <v>65</v>
      </c>
      <c r="B89" s="83">
        <v>-3.8269146684290405</v>
      </c>
      <c r="C89" s="83">
        <v>3.3549303045931329</v>
      </c>
    </row>
    <row r="90" spans="1:3" x14ac:dyDescent="0.35">
      <c r="A90" s="20">
        <v>66</v>
      </c>
      <c r="B90" s="83">
        <v>1.3321302006615381</v>
      </c>
      <c r="C90" s="83">
        <v>1.3533600203749654</v>
      </c>
    </row>
    <row r="91" spans="1:3" x14ac:dyDescent="0.35">
      <c r="A91" s="20">
        <v>67</v>
      </c>
      <c r="B91" s="83">
        <v>-7.0715187909173327</v>
      </c>
      <c r="C91" s="83">
        <v>1.4891377307362008</v>
      </c>
    </row>
    <row r="92" spans="1:3" x14ac:dyDescent="0.35">
      <c r="A92" s="20">
        <v>68</v>
      </c>
      <c r="B92" s="83">
        <v>0.85973573072071385</v>
      </c>
      <c r="C92" s="83">
        <v>0.30077250509267661</v>
      </c>
    </row>
    <row r="93" spans="1:3" x14ac:dyDescent="0.35">
      <c r="A93" s="20">
        <v>69</v>
      </c>
      <c r="B93" s="83">
        <v>-1.6887081202758372</v>
      </c>
      <c r="C93" s="83">
        <v>-1.4282848453443291</v>
      </c>
    </row>
    <row r="94" spans="1:3" x14ac:dyDescent="0.35">
      <c r="A94" s="20">
        <v>70</v>
      </c>
      <c r="B94" s="83">
        <v>1.4813074016954824</v>
      </c>
      <c r="C94" s="83">
        <v>4.580566621345814</v>
      </c>
    </row>
    <row r="95" spans="1:3" x14ac:dyDescent="0.35">
      <c r="A95" s="20">
        <v>71</v>
      </c>
      <c r="B95" s="83">
        <v>-2.8945571619668877</v>
      </c>
      <c r="C95" s="83">
        <v>-27.021918029268704</v>
      </c>
    </row>
    <row r="96" spans="1:3" x14ac:dyDescent="0.35">
      <c r="A96" s="20">
        <v>72</v>
      </c>
      <c r="B96" s="83">
        <v>2.8239022110009828</v>
      </c>
      <c r="C96" s="83">
        <v>1.3210220290472479</v>
      </c>
    </row>
    <row r="97" spans="1:3" x14ac:dyDescent="0.35">
      <c r="A97" s="20">
        <v>73</v>
      </c>
      <c r="B97" s="83">
        <v>-2.2896042063457349E-2</v>
      </c>
      <c r="C97" s="83">
        <v>-4.0280768476886344</v>
      </c>
    </row>
    <row r="98" spans="1:3" x14ac:dyDescent="0.35">
      <c r="A98" s="20">
        <v>74</v>
      </c>
      <c r="B98" s="83">
        <v>-1.6514138200173509</v>
      </c>
      <c r="C98" s="83">
        <v>0.55670246697111425</v>
      </c>
    </row>
    <row r="99" spans="1:3" x14ac:dyDescent="0.35">
      <c r="A99" s="20">
        <v>75</v>
      </c>
      <c r="B99" s="83">
        <v>-0.43313334490680455</v>
      </c>
      <c r="C99" s="83">
        <v>-0.13286806921541505</v>
      </c>
    </row>
    <row r="100" spans="1:3" x14ac:dyDescent="0.35">
      <c r="A100" s="20">
        <v>76</v>
      </c>
      <c r="B100" s="83">
        <v>1.0337757985936491</v>
      </c>
      <c r="C100" s="83">
        <v>4.538919359760861</v>
      </c>
    </row>
    <row r="101" spans="1:3" x14ac:dyDescent="0.35">
      <c r="A101" s="20">
        <v>77</v>
      </c>
      <c r="B101" s="83">
        <v>0.13871259238998246</v>
      </c>
      <c r="C101" s="83">
        <v>9.5634380282260539E-2</v>
      </c>
    </row>
    <row r="102" spans="1:3" x14ac:dyDescent="0.35">
      <c r="A102" s="20">
        <v>78</v>
      </c>
      <c r="B102" s="83">
        <v>-0.3585447443898323</v>
      </c>
      <c r="C102" s="83">
        <v>-1.9681207725272025</v>
      </c>
    </row>
    <row r="103" spans="1:3" x14ac:dyDescent="0.35">
      <c r="A103" s="20">
        <v>79</v>
      </c>
      <c r="B103" s="83">
        <v>-0.98011641536460092</v>
      </c>
      <c r="C103" s="83">
        <v>0.55531578758478251</v>
      </c>
    </row>
    <row r="104" spans="1:3" x14ac:dyDescent="0.35">
      <c r="A104" s="20">
        <v>80</v>
      </c>
      <c r="B104" s="83">
        <v>0.39977269419938527</v>
      </c>
      <c r="C104" s="83">
        <v>1.4840188736787334</v>
      </c>
    </row>
    <row r="105" spans="1:3" x14ac:dyDescent="0.35">
      <c r="A105" s="20">
        <v>81</v>
      </c>
      <c r="B105" s="83">
        <v>0.51165559497484359</v>
      </c>
      <c r="C105" s="83">
        <v>-2.3327205598526124</v>
      </c>
    </row>
    <row r="106" spans="1:3" x14ac:dyDescent="0.35">
      <c r="A106" s="20">
        <v>82</v>
      </c>
      <c r="B106" s="83">
        <v>0.51165559497484359</v>
      </c>
      <c r="C106" s="83">
        <v>2.6008092679784856</v>
      </c>
    </row>
    <row r="107" spans="1:3" x14ac:dyDescent="0.35">
      <c r="A107" s="20">
        <v>83</v>
      </c>
      <c r="B107" s="83">
        <v>-0.95525354852561017</v>
      </c>
      <c r="C107" s="83">
        <v>-2.9770719483776795</v>
      </c>
    </row>
    <row r="108" spans="1:3" x14ac:dyDescent="0.35">
      <c r="A108" s="20">
        <v>84</v>
      </c>
      <c r="B108" s="83">
        <v>2.2023305400262143</v>
      </c>
      <c r="C108" s="83">
        <v>-6.5223385581991504</v>
      </c>
    </row>
    <row r="109" spans="1:3" x14ac:dyDescent="0.35">
      <c r="A109" s="20">
        <v>85</v>
      </c>
      <c r="B109" s="83">
        <v>-1.2660393840129944</v>
      </c>
      <c r="C109" s="83">
        <v>-0.20465113613079033</v>
      </c>
    </row>
    <row r="110" spans="1:3" x14ac:dyDescent="0.35">
      <c r="A110" s="20">
        <v>86</v>
      </c>
      <c r="B110" s="83">
        <v>2.0780162058312603</v>
      </c>
      <c r="C110" s="83">
        <v>1.0736490676732013</v>
      </c>
    </row>
    <row r="111" spans="1:3" x14ac:dyDescent="0.35">
      <c r="A111" s="20">
        <v>87</v>
      </c>
      <c r="B111" s="83">
        <v>0.56138132865282508</v>
      </c>
      <c r="C111" s="83">
        <v>-4.7015893552792987</v>
      </c>
    </row>
    <row r="112" spans="1:3" x14ac:dyDescent="0.35">
      <c r="A112" s="20">
        <v>88</v>
      </c>
      <c r="B112" s="83">
        <v>-2.6832227938354665</v>
      </c>
      <c r="C112" s="83">
        <v>-7.5060805948628699</v>
      </c>
    </row>
    <row r="113" spans="1:3" x14ac:dyDescent="0.35">
      <c r="A113" s="20">
        <v>89</v>
      </c>
      <c r="B113" s="83">
        <v>3.2217080804248344</v>
      </c>
      <c r="C113" s="83">
        <v>10.886407263370442</v>
      </c>
    </row>
    <row r="114" spans="1:3" x14ac:dyDescent="0.35">
      <c r="A114" s="20">
        <v>90</v>
      </c>
      <c r="B114" s="83">
        <v>-0.75635061381368418</v>
      </c>
      <c r="C114" s="83">
        <v>-0.27376726885403468</v>
      </c>
    </row>
    <row r="115" spans="1:3" x14ac:dyDescent="0.35">
      <c r="A115" s="20">
        <v>91</v>
      </c>
      <c r="B115" s="83">
        <v>-1.6887081202758372</v>
      </c>
      <c r="C115" s="83">
        <v>3.6326316644757406</v>
      </c>
    </row>
    <row r="116" spans="1:3" x14ac:dyDescent="0.35">
      <c r="A116" s="20">
        <v>92</v>
      </c>
      <c r="B116" s="83">
        <v>-0.23423041019487864</v>
      </c>
      <c r="C116" s="83">
        <v>0.61092671937645548</v>
      </c>
    </row>
    <row r="117" spans="1:3" x14ac:dyDescent="0.35">
      <c r="A117" s="20">
        <v>93</v>
      </c>
      <c r="B117" s="83">
        <v>0.99648149833516309</v>
      </c>
      <c r="C117" s="83">
        <v>3.10307448221088</v>
      </c>
    </row>
    <row r="118" spans="1:3" x14ac:dyDescent="0.35">
      <c r="A118" s="20">
        <v>94</v>
      </c>
      <c r="B118" s="83">
        <v>2.6125678428695616</v>
      </c>
      <c r="C118" s="83">
        <v>-5.2183640346086548</v>
      </c>
    </row>
    <row r="119" spans="1:3" x14ac:dyDescent="0.35">
      <c r="A119" s="20">
        <v>95</v>
      </c>
      <c r="B119" s="83">
        <v>4.1292027200479966</v>
      </c>
      <c r="C119" s="83">
        <v>-0.88305189672344664</v>
      </c>
    </row>
    <row r="120" spans="1:3" x14ac:dyDescent="0.35">
      <c r="A120" s="20">
        <v>96</v>
      </c>
      <c r="B120" s="83">
        <v>-3.105891530098309</v>
      </c>
      <c r="C120" s="83">
        <v>11.583022378650593</v>
      </c>
    </row>
    <row r="121" spans="1:3" x14ac:dyDescent="0.35">
      <c r="A121" s="20">
        <v>97</v>
      </c>
      <c r="B121" s="83">
        <v>2.0407219055727741</v>
      </c>
      <c r="C121" s="83">
        <v>-0.69475378883984118</v>
      </c>
    </row>
    <row r="122" spans="1:3" x14ac:dyDescent="0.35">
      <c r="A122" s="20">
        <v>98</v>
      </c>
      <c r="B122" s="83">
        <v>-1.6389823865978557</v>
      </c>
      <c r="C122" s="83">
        <v>4.6345031015674376</v>
      </c>
    </row>
    <row r="123" spans="1:3" x14ac:dyDescent="0.35">
      <c r="A123" s="20">
        <v>99</v>
      </c>
      <c r="B123" s="83">
        <v>-0.96768498194510544</v>
      </c>
      <c r="C123" s="83">
        <v>1.064122776255451</v>
      </c>
    </row>
    <row r="124" spans="1:3" x14ac:dyDescent="0.35">
      <c r="A124" s="20">
        <v>100</v>
      </c>
      <c r="B124" s="83">
        <v>-1.7135709871148277</v>
      </c>
      <c r="C124" s="83">
        <v>1.5996088767050036</v>
      </c>
    </row>
    <row r="125" spans="1:3" x14ac:dyDescent="0.35">
      <c r="A125" s="20">
        <v>101</v>
      </c>
      <c r="B125" s="83">
        <v>1.2824044669835566</v>
      </c>
      <c r="C125" s="83">
        <v>-6.4807866809427921</v>
      </c>
    </row>
    <row r="126" spans="1:3" x14ac:dyDescent="0.35">
      <c r="A126" s="20">
        <v>102</v>
      </c>
      <c r="B126" s="83">
        <v>4.3156742213404273</v>
      </c>
      <c r="C126" s="83">
        <v>0.27416732426221646</v>
      </c>
    </row>
    <row r="127" spans="1:3" x14ac:dyDescent="0.35">
      <c r="A127" s="20">
        <v>103</v>
      </c>
      <c r="B127" s="83">
        <v>-4.2744462715308735</v>
      </c>
      <c r="C127" s="83">
        <v>5.3308337886751316</v>
      </c>
    </row>
    <row r="128" spans="1:3" x14ac:dyDescent="0.35">
      <c r="A128" s="20">
        <v>104</v>
      </c>
      <c r="B128" s="83">
        <v>0.36247839394089909</v>
      </c>
      <c r="C128" s="83">
        <v>9.8783585204522328</v>
      </c>
    </row>
    <row r="129" spans="1:3" x14ac:dyDescent="0.35">
      <c r="A129" s="20">
        <v>105</v>
      </c>
      <c r="B129" s="83">
        <v>0.32518409368241302</v>
      </c>
      <c r="C129" s="83">
        <v>1.0294646131350518</v>
      </c>
    </row>
    <row r="130" spans="1:3" x14ac:dyDescent="0.35">
      <c r="A130" s="20">
        <v>106</v>
      </c>
      <c r="B130" s="83">
        <v>1.3072673338225473</v>
      </c>
      <c r="C130" s="83">
        <v>-1.9246968162691083</v>
      </c>
    </row>
    <row r="131" spans="1:3" x14ac:dyDescent="0.35">
      <c r="A131" s="20">
        <v>107</v>
      </c>
      <c r="B131" s="83">
        <v>0.67326422942828335</v>
      </c>
      <c r="C131" s="83">
        <v>-5.5674048921323127</v>
      </c>
    </row>
    <row r="132" spans="1:3" x14ac:dyDescent="0.35">
      <c r="A132" s="20">
        <v>108</v>
      </c>
      <c r="B132" s="83">
        <v>0.85973573072071385</v>
      </c>
      <c r="C132" s="83">
        <v>-0.96256265864848278</v>
      </c>
    </row>
    <row r="133" spans="1:3" x14ac:dyDescent="0.35">
      <c r="A133" s="20">
        <v>109</v>
      </c>
      <c r="B133" s="83">
        <v>3.5697882161707049</v>
      </c>
      <c r="C133" s="83">
        <v>-3.7533825112256038</v>
      </c>
    </row>
    <row r="134" spans="1:3" x14ac:dyDescent="0.35">
      <c r="A134" s="20">
        <v>110</v>
      </c>
      <c r="B134" s="83">
        <v>5.0491287930906532</v>
      </c>
      <c r="C134" s="83">
        <v>-0.28677186019373835</v>
      </c>
    </row>
    <row r="135" spans="1:3" x14ac:dyDescent="0.35">
      <c r="A135" s="20">
        <v>111</v>
      </c>
      <c r="B135" s="83">
        <v>-0.63203627961873043</v>
      </c>
      <c r="C135" s="83">
        <v>-2.0794022939000802</v>
      </c>
    </row>
    <row r="136" spans="1:3" x14ac:dyDescent="0.35">
      <c r="A136" s="20">
        <v>112</v>
      </c>
      <c r="B136" s="83">
        <v>-4.4609177728233043</v>
      </c>
      <c r="C136" s="83">
        <v>0.73908597026745637</v>
      </c>
    </row>
    <row r="137" spans="1:3" x14ac:dyDescent="0.35">
      <c r="A137" s="20">
        <v>113</v>
      </c>
      <c r="B137" s="83">
        <v>-0.98011641536460092</v>
      </c>
      <c r="C137" s="83">
        <v>-0.97263108657072284</v>
      </c>
    </row>
    <row r="138" spans="1:3" x14ac:dyDescent="0.35">
      <c r="A138" s="20">
        <v>114</v>
      </c>
      <c r="B138" s="83">
        <v>-1.9621996555047352</v>
      </c>
      <c r="C138" s="83">
        <v>3.2597884000288042</v>
      </c>
    </row>
    <row r="139" spans="1:3" x14ac:dyDescent="0.35">
      <c r="A139" s="20">
        <v>115</v>
      </c>
      <c r="B139" s="83">
        <v>1.1207958325301166</v>
      </c>
      <c r="C139" s="83">
        <v>0.67199078171034254</v>
      </c>
    </row>
    <row r="140" spans="1:3" x14ac:dyDescent="0.35">
      <c r="A140" s="20">
        <v>116</v>
      </c>
      <c r="B140" s="83">
        <v>-1.0671364493010684</v>
      </c>
      <c r="C140" s="83">
        <v>-1.1015740291358935</v>
      </c>
    </row>
    <row r="141" spans="1:3" x14ac:dyDescent="0.35">
      <c r="A141" s="20">
        <v>117</v>
      </c>
      <c r="B141" s="83">
        <v>0.22573262632645005</v>
      </c>
      <c r="C141" s="83">
        <v>-3.9558234568226682</v>
      </c>
    </row>
    <row r="142" spans="1:3" x14ac:dyDescent="0.35">
      <c r="A142" s="20">
        <v>118</v>
      </c>
      <c r="B142" s="83">
        <v>1.1083643991106213</v>
      </c>
      <c r="C142" s="83">
        <v>-0.20939406772796321</v>
      </c>
    </row>
    <row r="143" spans="1:3" x14ac:dyDescent="0.35">
      <c r="A143" s="20">
        <v>119</v>
      </c>
      <c r="B143" s="83">
        <v>2.2271934068652048</v>
      </c>
      <c r="C143" s="83">
        <v>-2.9598618249120277</v>
      </c>
    </row>
    <row r="144" spans="1:3" x14ac:dyDescent="0.35">
      <c r="A144" s="20">
        <v>120</v>
      </c>
      <c r="B144" s="83">
        <v>1.6304846027294269</v>
      </c>
      <c r="C144" s="83">
        <v>3.8981431675334917</v>
      </c>
    </row>
    <row r="145" spans="1:3" x14ac:dyDescent="0.35">
      <c r="A145" s="20">
        <v>121</v>
      </c>
      <c r="B145" s="83">
        <v>0.63596992916979733</v>
      </c>
      <c r="C145" s="83">
        <v>-2.4039242244296171</v>
      </c>
    </row>
    <row r="146" spans="1:3" x14ac:dyDescent="0.35">
      <c r="A146" s="20">
        <v>122</v>
      </c>
      <c r="B146" s="83">
        <v>-3.2675001645517487</v>
      </c>
      <c r="C146" s="83">
        <v>1.5779382658778649</v>
      </c>
    </row>
    <row r="147" spans="1:3" x14ac:dyDescent="0.35">
      <c r="A147" s="20">
        <v>123</v>
      </c>
      <c r="B147" s="83">
        <v>-1.0464608643961978E-2</v>
      </c>
      <c r="C147" s="83">
        <v>9.8220981454507879</v>
      </c>
    </row>
    <row r="148" spans="1:3" x14ac:dyDescent="0.35">
      <c r="A148" s="20">
        <v>124</v>
      </c>
      <c r="B148" s="83">
        <v>0.46192986129686209</v>
      </c>
      <c r="C148" s="83">
        <v>-6.249722936560822</v>
      </c>
    </row>
    <row r="149" spans="1:3" x14ac:dyDescent="0.35">
      <c r="A149" s="20">
        <v>125</v>
      </c>
      <c r="B149" s="83">
        <v>-1.6762766868563417</v>
      </c>
      <c r="C149" s="83">
        <v>-1.0574114777437256</v>
      </c>
    </row>
    <row r="150" spans="1:3" x14ac:dyDescent="0.35">
      <c r="A150" s="20">
        <v>126</v>
      </c>
      <c r="B150" s="83">
        <v>1.7175046366658944</v>
      </c>
      <c r="C150" s="83">
        <v>2.293626045519396</v>
      </c>
    </row>
    <row r="151" spans="1:3" x14ac:dyDescent="0.35">
      <c r="A151" s="20">
        <v>127</v>
      </c>
      <c r="B151" s="83">
        <v>-7.2621775741438827E-2</v>
      </c>
      <c r="C151" s="83">
        <v>-0.38625740273071774</v>
      </c>
    </row>
    <row r="152" spans="1:3" x14ac:dyDescent="0.35">
      <c r="A152" s="20">
        <v>128</v>
      </c>
      <c r="B152" s="83">
        <v>1.8791132711193343</v>
      </c>
      <c r="C152" s="83">
        <v>1.1729964308921788</v>
      </c>
    </row>
    <row r="153" spans="1:3" x14ac:dyDescent="0.35">
      <c r="A153" s="20">
        <v>129</v>
      </c>
      <c r="B153" s="83">
        <v>-0.64446771303822592</v>
      </c>
      <c r="C153" s="83">
        <v>-1.7692756574211828</v>
      </c>
    </row>
    <row r="154" spans="1:3" x14ac:dyDescent="0.35">
      <c r="A154" s="20">
        <v>130</v>
      </c>
      <c r="B154" s="83">
        <v>1.9909961718947926</v>
      </c>
      <c r="C154" s="83">
        <v>-2.5635002861586527</v>
      </c>
    </row>
    <row r="155" spans="1:3" x14ac:dyDescent="0.35">
      <c r="A155" s="20">
        <v>131</v>
      </c>
      <c r="B155" s="83">
        <v>1.4688759682759869</v>
      </c>
      <c r="C155" s="83">
        <v>4.8846219482570774</v>
      </c>
    </row>
    <row r="156" spans="1:3" x14ac:dyDescent="0.35">
      <c r="A156" s="20">
        <v>132</v>
      </c>
      <c r="B156" s="83">
        <v>1.7299360700853896</v>
      </c>
      <c r="C156" s="83">
        <v>1.1093606357838832</v>
      </c>
    </row>
    <row r="157" spans="1:3" x14ac:dyDescent="0.35">
      <c r="A157" s="20">
        <v>133</v>
      </c>
      <c r="B157" s="83">
        <v>1.9668247755333934E-3</v>
      </c>
      <c r="C157" s="83">
        <v>1.6140736707576275</v>
      </c>
    </row>
    <row r="158" spans="1:3" x14ac:dyDescent="0.35">
      <c r="A158" s="20">
        <v>134</v>
      </c>
      <c r="B158" s="83">
        <v>-0.58231054594074894</v>
      </c>
      <c r="C158" s="83">
        <v>2.2142477120319342</v>
      </c>
    </row>
    <row r="159" spans="1:3" x14ac:dyDescent="0.35">
      <c r="A159" s="20">
        <v>135</v>
      </c>
      <c r="B159" s="83">
        <v>1.2326787333055749</v>
      </c>
      <c r="C159" s="83">
        <v>-2.5711467960167473</v>
      </c>
    </row>
    <row r="160" spans="1:3" x14ac:dyDescent="0.35">
      <c r="A160" s="20">
        <v>136</v>
      </c>
      <c r="B160" s="83">
        <v>-0.42070191148730923</v>
      </c>
      <c r="C160" s="83">
        <v>-1.2207024917523752</v>
      </c>
    </row>
    <row r="161" spans="1:3" x14ac:dyDescent="0.35">
      <c r="A161" s="20">
        <v>137</v>
      </c>
      <c r="B161" s="83">
        <v>3.3335909812002931</v>
      </c>
      <c r="C161" s="83">
        <v>2.5277275221465652</v>
      </c>
    </row>
    <row r="162" spans="1:3" x14ac:dyDescent="0.35">
      <c r="A162" s="20">
        <v>138</v>
      </c>
      <c r="B162" s="83">
        <v>-3.5658545666196377</v>
      </c>
      <c r="C162" s="83">
        <v>-1.5110850744348139</v>
      </c>
    </row>
    <row r="163" spans="1:3" x14ac:dyDescent="0.35">
      <c r="A163" s="20">
        <v>139</v>
      </c>
      <c r="B163" s="83">
        <v>0.41220412761888064</v>
      </c>
      <c r="C163" s="83">
        <v>-2.4212368805731419</v>
      </c>
    </row>
    <row r="164" spans="1:3" x14ac:dyDescent="0.35">
      <c r="A164" s="20">
        <v>140</v>
      </c>
      <c r="B164" s="83">
        <v>-1.2536079505934992</v>
      </c>
      <c r="C164" s="83">
        <v>-6.7202749125723766</v>
      </c>
    </row>
    <row r="165" spans="1:3" x14ac:dyDescent="0.35">
      <c r="A165" s="20">
        <v>141</v>
      </c>
      <c r="B165" s="83">
        <v>1.5931903024709408</v>
      </c>
      <c r="C165" s="83">
        <v>-5.8834998444471491</v>
      </c>
    </row>
    <row r="166" spans="1:3" x14ac:dyDescent="0.35">
      <c r="A166" s="20">
        <v>142</v>
      </c>
      <c r="B166" s="83">
        <v>-2.409731258606568</v>
      </c>
      <c r="C166" s="83">
        <v>3.5399483473669742</v>
      </c>
    </row>
    <row r="167" spans="1:3" x14ac:dyDescent="0.35">
      <c r="A167" s="20">
        <v>143</v>
      </c>
      <c r="B167" s="83">
        <v>1.4564445348564916</v>
      </c>
      <c r="C167" s="83">
        <v>-5.0220461582329587</v>
      </c>
    </row>
    <row r="168" spans="1:3" x14ac:dyDescent="0.35">
      <c r="A168" s="20">
        <v>144</v>
      </c>
      <c r="B168" s="83">
        <v>1.7050732032463991</v>
      </c>
      <c r="C168" s="83">
        <v>-3.5758821686663405</v>
      </c>
    </row>
    <row r="169" spans="1:3" x14ac:dyDescent="0.35">
      <c r="A169" s="20">
        <v>145</v>
      </c>
      <c r="B169" s="83">
        <v>0.17600689264846858</v>
      </c>
      <c r="C169" s="83">
        <v>5.3974228940207034</v>
      </c>
    </row>
    <row r="170" spans="1:3" x14ac:dyDescent="0.35">
      <c r="A170" s="20">
        <v>146</v>
      </c>
      <c r="B170" s="83">
        <v>3.1471194799078619</v>
      </c>
      <c r="C170" s="83">
        <v>0.81307113623278626</v>
      </c>
    </row>
    <row r="171" spans="1:3" x14ac:dyDescent="0.35">
      <c r="A171" s="20">
        <v>147</v>
      </c>
      <c r="B171" s="83">
        <v>0.69812709626727409</v>
      </c>
      <c r="C171" s="83">
        <v>0.22417975562451442</v>
      </c>
    </row>
    <row r="172" spans="1:3" x14ac:dyDescent="0.35">
      <c r="A172" s="20">
        <v>148</v>
      </c>
      <c r="B172" s="83">
        <v>-0.54501624568226292</v>
      </c>
      <c r="C172" s="83">
        <v>3.4781514005424445</v>
      </c>
    </row>
    <row r="173" spans="1:3" x14ac:dyDescent="0.35">
      <c r="A173" s="20">
        <v>149</v>
      </c>
      <c r="B173" s="83">
        <v>-3.230205864293263</v>
      </c>
      <c r="C173" s="83">
        <v>5.265609111487862</v>
      </c>
    </row>
    <row r="174" spans="1:3" x14ac:dyDescent="0.35">
      <c r="A174" s="20">
        <v>150</v>
      </c>
      <c r="B174" s="83">
        <v>-0.14721037625841105</v>
      </c>
      <c r="C174" s="83">
        <v>-0.46706823365314731</v>
      </c>
    </row>
    <row r="175" spans="1:3" x14ac:dyDescent="0.35">
      <c r="A175" s="20">
        <v>151</v>
      </c>
      <c r="B175" s="83">
        <v>0.83487286388172333</v>
      </c>
      <c r="C175" s="83">
        <v>6.7660604021357909</v>
      </c>
    </row>
    <row r="176" spans="1:3" x14ac:dyDescent="0.35">
      <c r="A176" s="20">
        <v>152</v>
      </c>
      <c r="B176" s="83">
        <v>-0.52015337884327217</v>
      </c>
      <c r="C176" s="83">
        <v>0.60209367863624985</v>
      </c>
    </row>
    <row r="177" spans="1:3" x14ac:dyDescent="0.35">
      <c r="A177" s="20">
        <v>153</v>
      </c>
      <c r="B177" s="83">
        <v>1.6802103364074084</v>
      </c>
      <c r="C177" s="83">
        <v>-3.8828595944578703</v>
      </c>
    </row>
    <row r="178" spans="1:3" x14ac:dyDescent="0.35">
      <c r="A178" s="20">
        <v>154</v>
      </c>
      <c r="B178" s="83">
        <v>3.1844137801663486</v>
      </c>
      <c r="C178" s="83">
        <v>-0.31406449228967848</v>
      </c>
    </row>
    <row r="179" spans="1:3" x14ac:dyDescent="0.35">
      <c r="A179" s="20">
        <v>155</v>
      </c>
      <c r="B179" s="83">
        <v>-1.8130224544707907</v>
      </c>
      <c r="C179" s="83">
        <v>-3.6925237375680151</v>
      </c>
    </row>
    <row r="180" spans="1:3" x14ac:dyDescent="0.35">
      <c r="A180" s="20">
        <v>156</v>
      </c>
      <c r="B180" s="83">
        <v>-8.5053209160934201E-2</v>
      </c>
      <c r="C180" s="83">
        <v>5.9990445677891323E-2</v>
      </c>
    </row>
    <row r="181" spans="1:3" x14ac:dyDescent="0.35">
      <c r="A181" s="20">
        <v>157</v>
      </c>
      <c r="B181" s="83">
        <v>0.43706699445787134</v>
      </c>
      <c r="C181" s="83">
        <v>1.41772640467528</v>
      </c>
    </row>
    <row r="182" spans="1:3" x14ac:dyDescent="0.35">
      <c r="A182" s="20">
        <v>158</v>
      </c>
      <c r="B182" s="83">
        <v>0.44949842787736671</v>
      </c>
      <c r="C182" s="83">
        <v>14.853178053263676</v>
      </c>
    </row>
    <row r="183" spans="1:3" x14ac:dyDescent="0.35">
      <c r="A183" s="20">
        <v>159</v>
      </c>
      <c r="B183" s="83">
        <v>2.1277419395092418</v>
      </c>
      <c r="C183" s="83">
        <v>1.3586777805916177</v>
      </c>
    </row>
    <row r="184" spans="1:3" x14ac:dyDescent="0.35">
      <c r="A184" s="20">
        <v>160</v>
      </c>
      <c r="B184" s="83">
        <v>0.58624419549181583</v>
      </c>
      <c r="C184" s="83">
        <v>-3.2594071451605826</v>
      </c>
    </row>
    <row r="185" spans="1:3" x14ac:dyDescent="0.35">
      <c r="A185" s="20">
        <v>161</v>
      </c>
      <c r="B185" s="83">
        <v>-0.14721037625841105</v>
      </c>
      <c r="C185" s="83">
        <v>-3.5525272072364462</v>
      </c>
    </row>
    <row r="186" spans="1:3" x14ac:dyDescent="0.35">
      <c r="A186" s="20">
        <v>162</v>
      </c>
      <c r="B186" s="83">
        <v>0.89703003097920009</v>
      </c>
      <c r="C186" s="83">
        <v>2.0630042070109278</v>
      </c>
    </row>
    <row r="187" spans="1:3" x14ac:dyDescent="0.35">
      <c r="A187" s="20">
        <v>163</v>
      </c>
      <c r="B187" s="83">
        <v>3.1222566130688714</v>
      </c>
      <c r="C187" s="83">
        <v>1.0883272596864604</v>
      </c>
    </row>
    <row r="188" spans="1:3" x14ac:dyDescent="0.35">
      <c r="A188" s="20">
        <v>164</v>
      </c>
      <c r="B188" s="83">
        <v>0.68569566284777883</v>
      </c>
      <c r="C188" s="83">
        <v>-3.0021011124522765</v>
      </c>
    </row>
    <row r="189" spans="1:3" x14ac:dyDescent="0.35">
      <c r="A189" s="20">
        <v>165</v>
      </c>
      <c r="B189" s="83">
        <v>0.21330119290695471</v>
      </c>
      <c r="C189" s="83">
        <v>-2.0778131942053153</v>
      </c>
    </row>
    <row r="190" spans="1:3" x14ac:dyDescent="0.35">
      <c r="A190" s="20">
        <v>166</v>
      </c>
      <c r="B190" s="83">
        <v>-0.95525354852561017</v>
      </c>
      <c r="C190" s="83">
        <v>-0.38770117975946139</v>
      </c>
    </row>
    <row r="191" spans="1:3" x14ac:dyDescent="0.35">
      <c r="A191" s="20">
        <v>167</v>
      </c>
      <c r="B191" s="83">
        <v>1.6926417698269038</v>
      </c>
      <c r="C191" s="83">
        <v>3.8675665466894849</v>
      </c>
    </row>
    <row r="192" spans="1:3" x14ac:dyDescent="0.35">
      <c r="A192" s="20">
        <v>168</v>
      </c>
      <c r="B192" s="83">
        <v>2.6871564433865336</v>
      </c>
      <c r="C192" s="83">
        <v>1.4579123634880888</v>
      </c>
    </row>
    <row r="193" spans="1:3" x14ac:dyDescent="0.35">
      <c r="A193" s="20">
        <v>169</v>
      </c>
      <c r="B193" s="83">
        <v>1.8542504042803434</v>
      </c>
      <c r="C193" s="83">
        <v>3.6971470453339434</v>
      </c>
    </row>
    <row r="194" spans="1:3" x14ac:dyDescent="0.35">
      <c r="A194" s="20">
        <v>170</v>
      </c>
      <c r="B194" s="83">
        <v>-2.3227112246701007</v>
      </c>
      <c r="C194" s="83">
        <v>3.0955703804016363</v>
      </c>
    </row>
    <row r="195" spans="1:3" x14ac:dyDescent="0.35">
      <c r="A195" s="20">
        <v>171</v>
      </c>
      <c r="B195" s="83">
        <v>0.76028426336475086</v>
      </c>
      <c r="C195" s="83">
        <v>1.3867396379470835</v>
      </c>
    </row>
    <row r="196" spans="1:3" x14ac:dyDescent="0.35">
      <c r="A196" s="20">
        <v>172</v>
      </c>
      <c r="B196" s="83">
        <v>-2.534045592801522</v>
      </c>
      <c r="C196" s="83">
        <v>-7.0818286433814492E-2</v>
      </c>
    </row>
    <row r="197" spans="1:3" x14ac:dyDescent="0.35">
      <c r="A197" s="20">
        <v>173</v>
      </c>
      <c r="B197" s="83">
        <v>-1.2163136503350129</v>
      </c>
      <c r="C197" s="83">
        <v>-5.7893399498980038</v>
      </c>
    </row>
    <row r="198" spans="1:3" x14ac:dyDescent="0.35">
      <c r="A198" s="20">
        <v>174</v>
      </c>
      <c r="B198" s="83">
        <v>1.7920932371828666</v>
      </c>
      <c r="C198" s="83">
        <v>0.21688764864795296</v>
      </c>
    </row>
    <row r="199" spans="1:3" x14ac:dyDescent="0.35">
      <c r="A199" s="20">
        <v>175</v>
      </c>
      <c r="B199" s="83">
        <v>0.15114402580947783</v>
      </c>
      <c r="C199" s="83">
        <v>-3.2561378939994148</v>
      </c>
    </row>
    <row r="200" spans="1:3" x14ac:dyDescent="0.35">
      <c r="A200" s="20">
        <v>176</v>
      </c>
      <c r="B200" s="83">
        <v>0.89703003097920009</v>
      </c>
      <c r="C200" s="83">
        <v>0.82439746653807866</v>
      </c>
    </row>
    <row r="201" spans="1:3" x14ac:dyDescent="0.35">
      <c r="A201" s="20">
        <v>177</v>
      </c>
      <c r="B201" s="83">
        <v>3.7562597174631356</v>
      </c>
      <c r="C201" s="83">
        <v>-1.662385543072157</v>
      </c>
    </row>
    <row r="202" spans="1:3" x14ac:dyDescent="0.35">
      <c r="A202" s="20">
        <v>178</v>
      </c>
      <c r="B202" s="83">
        <v>2.2893505739626816</v>
      </c>
      <c r="C202" s="83">
        <v>0.66382140346220986</v>
      </c>
    </row>
    <row r="203" spans="1:3" x14ac:dyDescent="0.35">
      <c r="A203" s="20">
        <v>179</v>
      </c>
      <c r="B203" s="83">
        <v>1.3818559343395196</v>
      </c>
      <c r="C203" s="83">
        <v>6.4092698174361846</v>
      </c>
    </row>
    <row r="204" spans="1:3" x14ac:dyDescent="0.35">
      <c r="A204" s="20">
        <v>180</v>
      </c>
      <c r="B204" s="83">
        <v>-2.5837713264795035</v>
      </c>
      <c r="C204" s="83">
        <v>-3.7044857240032298</v>
      </c>
    </row>
    <row r="205" spans="1:3" x14ac:dyDescent="0.35">
      <c r="A205" s="20">
        <v>181</v>
      </c>
      <c r="B205" s="83">
        <v>-1.1541564832375362</v>
      </c>
      <c r="C205" s="83">
        <v>-4.8108612752568956</v>
      </c>
    </row>
    <row r="206" spans="1:3" x14ac:dyDescent="0.35">
      <c r="A206" s="20">
        <v>182</v>
      </c>
      <c r="B206" s="83">
        <v>0.90946146439869535</v>
      </c>
      <c r="C206" s="83">
        <v>-6.3030848103467978</v>
      </c>
    </row>
    <row r="207" spans="1:3" x14ac:dyDescent="0.35">
      <c r="A207" s="20">
        <v>183</v>
      </c>
      <c r="B207" s="83">
        <v>-0.94282211510611469</v>
      </c>
      <c r="C207" s="83">
        <v>1.8947468683021804</v>
      </c>
    </row>
    <row r="208" spans="1:3" x14ac:dyDescent="0.35">
      <c r="A208" s="20">
        <v>184</v>
      </c>
      <c r="B208" s="83">
        <v>-1.3281965511104714</v>
      </c>
      <c r="C208" s="83">
        <v>4.9599223798580265</v>
      </c>
    </row>
    <row r="209" spans="1:3" x14ac:dyDescent="0.35">
      <c r="A209" s="20">
        <v>185</v>
      </c>
      <c r="B209" s="83">
        <v>2.6622935765475431</v>
      </c>
      <c r="C209" s="83">
        <v>3.5341595581372047</v>
      </c>
    </row>
    <row r="210" spans="1:3" x14ac:dyDescent="0.35">
      <c r="A210" s="20">
        <v>186</v>
      </c>
      <c r="B210" s="83">
        <v>1.7920932371828666</v>
      </c>
      <c r="C210" s="83">
        <v>-4.3983022212450429</v>
      </c>
    </row>
    <row r="211" spans="1:3" x14ac:dyDescent="0.35">
      <c r="A211" s="20">
        <v>187</v>
      </c>
      <c r="B211" s="83">
        <v>2.5504106757720844</v>
      </c>
      <c r="C211" s="83">
        <v>-0.11757864880233448</v>
      </c>
    </row>
    <row r="212" spans="1:3" x14ac:dyDescent="0.35">
      <c r="A212" s="20">
        <v>188</v>
      </c>
      <c r="B212" s="83">
        <v>2.3888020413186446</v>
      </c>
      <c r="C212" s="83">
        <v>2.5625086120927492</v>
      </c>
    </row>
    <row r="213" spans="1:3" x14ac:dyDescent="0.35">
      <c r="A213" s="20">
        <v>189</v>
      </c>
      <c r="B213" s="83">
        <v>-2.7826742611914295</v>
      </c>
      <c r="C213" s="83">
        <v>0.95848297372056845</v>
      </c>
    </row>
    <row r="214" spans="1:3" x14ac:dyDescent="0.35">
      <c r="A214" s="20">
        <v>190</v>
      </c>
      <c r="B214" s="83">
        <v>2.9606479786154316</v>
      </c>
      <c r="C214" s="83">
        <v>3.8855489750160843</v>
      </c>
    </row>
    <row r="215" spans="1:3" x14ac:dyDescent="0.35">
      <c r="A215" s="20">
        <v>191</v>
      </c>
      <c r="B215" s="83">
        <v>-1.726002420534323</v>
      </c>
      <c r="C215" s="83">
        <v>2.0825821617993974</v>
      </c>
    </row>
    <row r="216" spans="1:3" x14ac:dyDescent="0.35">
      <c r="A216" s="20">
        <v>192</v>
      </c>
      <c r="B216" s="83">
        <v>1.0586386654326398</v>
      </c>
      <c r="C216" s="83">
        <v>6.8339373228461868</v>
      </c>
    </row>
    <row r="217" spans="1:3" x14ac:dyDescent="0.35">
      <c r="A217" s="20">
        <v>193</v>
      </c>
      <c r="B217" s="83">
        <v>-0.25909327703386936</v>
      </c>
      <c r="C217" s="83">
        <v>0.94584670863704345</v>
      </c>
    </row>
    <row r="218" spans="1:3" x14ac:dyDescent="0.35">
      <c r="A218" s="20">
        <v>194</v>
      </c>
      <c r="B218" s="83">
        <v>0.83487286388172333</v>
      </c>
      <c r="C218" s="83">
        <v>1.6845916112298123</v>
      </c>
    </row>
    <row r="219" spans="1:3" x14ac:dyDescent="0.35">
      <c r="A219" s="20">
        <v>195</v>
      </c>
      <c r="B219" s="83">
        <v>3.0725308793908903</v>
      </c>
      <c r="C219" s="83">
        <v>-0.91559093378466416</v>
      </c>
    </row>
    <row r="220" spans="1:3" x14ac:dyDescent="0.35">
      <c r="A220" s="20">
        <v>196</v>
      </c>
      <c r="B220" s="83">
        <v>0.25059549316544083</v>
      </c>
      <c r="C220" s="83">
        <v>2.3303570711492689</v>
      </c>
    </row>
    <row r="221" spans="1:3" x14ac:dyDescent="0.35">
      <c r="A221" s="20">
        <v>197</v>
      </c>
      <c r="B221" s="83">
        <v>-0.44556477832629993</v>
      </c>
      <c r="C221" s="83">
        <v>-2.161100445987429</v>
      </c>
    </row>
    <row r="222" spans="1:3" x14ac:dyDescent="0.35">
      <c r="A222" s="20">
        <v>198</v>
      </c>
      <c r="B222" s="83">
        <v>0.2878897934239269</v>
      </c>
      <c r="C222" s="83">
        <v>2.2924426242458189</v>
      </c>
    </row>
    <row r="223" spans="1:3" x14ac:dyDescent="0.35">
      <c r="A223" s="20">
        <v>199</v>
      </c>
      <c r="B223" s="83">
        <v>0.56138132865282508</v>
      </c>
      <c r="C223" s="83">
        <v>3.8767131769570877</v>
      </c>
    </row>
    <row r="224" spans="1:3" x14ac:dyDescent="0.35">
      <c r="A224" s="20">
        <v>200</v>
      </c>
      <c r="B224" s="83">
        <v>0.90946146439869535</v>
      </c>
      <c r="C224" s="83">
        <v>6.4074687696240158</v>
      </c>
    </row>
    <row r="225" spans="1:3" x14ac:dyDescent="0.35">
      <c r="A225" s="20">
        <v>201</v>
      </c>
      <c r="B225" s="83">
        <v>1.5807588690514454</v>
      </c>
      <c r="C225" s="83">
        <v>-0.25879109990431859</v>
      </c>
    </row>
    <row r="226" spans="1:3" x14ac:dyDescent="0.35">
      <c r="A226" s="20">
        <v>202</v>
      </c>
      <c r="B226" s="83">
        <v>1.2202472998860796</v>
      </c>
      <c r="C226" s="83">
        <v>-0.8800477052032738</v>
      </c>
    </row>
    <row r="227" spans="1:3" x14ac:dyDescent="0.35">
      <c r="A227" s="20">
        <v>203</v>
      </c>
      <c r="B227" s="83">
        <v>0.5489498952333296</v>
      </c>
      <c r="C227" s="83">
        <v>-2.0262652506239913</v>
      </c>
    </row>
    <row r="228" spans="1:3" x14ac:dyDescent="0.35">
      <c r="A228" s="20">
        <v>204</v>
      </c>
      <c r="B228" s="83">
        <v>5.9690548661333107</v>
      </c>
      <c r="C228" s="83">
        <v>-6.0512591324544225</v>
      </c>
    </row>
    <row r="229" spans="1:3" x14ac:dyDescent="0.35">
      <c r="A229" s="20">
        <v>205</v>
      </c>
      <c r="B229" s="83">
        <v>-2.335142658089596</v>
      </c>
      <c r="C229" s="83">
        <v>-0.27646647513427469</v>
      </c>
    </row>
    <row r="230" spans="1:3" x14ac:dyDescent="0.35">
      <c r="A230" s="20">
        <v>206</v>
      </c>
      <c r="B230" s="83">
        <v>1.7423675035048851</v>
      </c>
      <c r="C230" s="83">
        <v>-2.6352631239100557</v>
      </c>
    </row>
    <row r="231" spans="1:3" x14ac:dyDescent="0.35">
      <c r="A231" s="20">
        <v>207</v>
      </c>
      <c r="B231" s="83">
        <v>-0.1720732430974018</v>
      </c>
      <c r="C231" s="83">
        <v>0.14263508539375835</v>
      </c>
    </row>
    <row r="232" spans="1:3" ht="15" thickBot="1" x14ac:dyDescent="0.4">
      <c r="A232" s="21">
        <v>208</v>
      </c>
      <c r="B232" s="87">
        <v>0.16357545922897321</v>
      </c>
      <c r="C232" s="87">
        <v>1.2982600284822015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32"/>
  <sheetViews>
    <sheetView workbookViewId="0">
      <selection activeCell="C1" sqref="C1"/>
    </sheetView>
  </sheetViews>
  <sheetFormatPr defaultRowHeight="14.5" x14ac:dyDescent="0.35"/>
  <cols>
    <col min="1" max="1" width="16.36328125" bestFit="1" customWidth="1"/>
    <col min="2" max="2" width="16.81640625" bestFit="1" customWidth="1"/>
    <col min="3" max="3" width="13.54296875" bestFit="1" customWidth="1"/>
    <col min="4" max="4" width="16.6328125" bestFit="1" customWidth="1"/>
    <col min="5" max="5" width="7.54296875" bestFit="1" customWidth="1"/>
    <col min="6" max="6" width="12.453125" bestFit="1" customWidth="1"/>
    <col min="7" max="7" width="12.26953125" bestFit="1" customWidth="1"/>
    <col min="8" max="9" width="12" bestFit="1" customWidth="1"/>
    <col min="10" max="10" width="11.453125" bestFit="1" customWidth="1"/>
    <col min="11" max="11" width="6.36328125" bestFit="1" customWidth="1"/>
  </cols>
  <sheetData>
    <row r="1" spans="1:11" x14ac:dyDescent="0.35">
      <c r="A1" s="106" t="s">
        <v>102</v>
      </c>
      <c r="B1" s="106"/>
    </row>
    <row r="2" spans="1:11" ht="15" thickBot="1" x14ac:dyDescent="0.4"/>
    <row r="3" spans="1:11" x14ac:dyDescent="0.35">
      <c r="A3" s="23" t="s">
        <v>27</v>
      </c>
      <c r="B3" s="23"/>
      <c r="D3" s="4" t="s">
        <v>57</v>
      </c>
      <c r="E3" s="89">
        <f>B7</f>
        <v>3.2413955457503381</v>
      </c>
      <c r="F3" s="26"/>
      <c r="G3" s="89" t="s">
        <v>53</v>
      </c>
      <c r="H3" s="89">
        <f>(C14/B14)^0.5</f>
        <v>3.5052151180940765</v>
      </c>
      <c r="I3" s="26"/>
      <c r="J3" s="99" t="s">
        <v>55</v>
      </c>
      <c r="K3" s="89">
        <f>B18</f>
        <v>0.79442742209325934</v>
      </c>
    </row>
    <row r="4" spans="1:11" x14ac:dyDescent="0.35">
      <c r="A4" s="20" t="s">
        <v>28</v>
      </c>
      <c r="B4" s="83">
        <v>0.38600004271709271</v>
      </c>
      <c r="D4" s="4" t="s">
        <v>56</v>
      </c>
      <c r="E4" s="89">
        <f>E3*(52)^0.5</f>
        <v>23.374035688526849</v>
      </c>
      <c r="F4" s="26"/>
      <c r="G4" s="89" t="s">
        <v>54</v>
      </c>
      <c r="H4" s="89">
        <f>H3*(52)^0.5</f>
        <v>25.276465679639511</v>
      </c>
      <c r="I4" s="26"/>
      <c r="J4" s="26"/>
      <c r="K4" s="26"/>
    </row>
    <row r="5" spans="1:11" x14ac:dyDescent="0.35">
      <c r="A5" s="20" t="s">
        <v>29</v>
      </c>
      <c r="B5" s="83">
        <v>0.14899603297759739</v>
      </c>
    </row>
    <row r="6" spans="1:11" x14ac:dyDescent="0.35">
      <c r="A6" s="20" t="s">
        <v>30</v>
      </c>
      <c r="B6" s="83">
        <v>0.14486494575904205</v>
      </c>
    </row>
    <row r="7" spans="1:11" x14ac:dyDescent="0.35">
      <c r="A7" s="20" t="s">
        <v>31</v>
      </c>
      <c r="B7" s="84">
        <v>3.2413955457503381</v>
      </c>
    </row>
    <row r="8" spans="1:11" ht="15" thickBot="1" x14ac:dyDescent="0.4">
      <c r="A8" s="21" t="s">
        <v>32</v>
      </c>
      <c r="B8" s="21">
        <v>208</v>
      </c>
    </row>
    <row r="10" spans="1:11" ht="15" thickBot="1" x14ac:dyDescent="0.4">
      <c r="A10" t="s">
        <v>33</v>
      </c>
    </row>
    <row r="11" spans="1:11" x14ac:dyDescent="0.35">
      <c r="A11" s="22"/>
      <c r="B11" s="22" t="s">
        <v>38</v>
      </c>
      <c r="C11" s="22" t="s">
        <v>39</v>
      </c>
      <c r="D11" s="22" t="s">
        <v>40</v>
      </c>
      <c r="E11" s="22" t="s">
        <v>41</v>
      </c>
      <c r="F11" s="22" t="s">
        <v>42</v>
      </c>
    </row>
    <row r="12" spans="1:11" x14ac:dyDescent="0.35">
      <c r="A12" s="20" t="s">
        <v>34</v>
      </c>
      <c r="B12" s="20">
        <v>1</v>
      </c>
      <c r="C12" s="83">
        <v>378.94344868577355</v>
      </c>
      <c r="D12" s="83">
        <v>378.94344868577355</v>
      </c>
      <c r="E12" s="83">
        <v>36.067026691753441</v>
      </c>
      <c r="F12" s="83">
        <v>8.5042939527470054E-9</v>
      </c>
    </row>
    <row r="13" spans="1:11" x14ac:dyDescent="0.35">
      <c r="A13" s="20" t="s">
        <v>35</v>
      </c>
      <c r="B13" s="20">
        <v>206</v>
      </c>
      <c r="C13" s="83">
        <v>2164.3688873060873</v>
      </c>
      <c r="D13" s="83">
        <v>10.506645084010133</v>
      </c>
      <c r="E13" s="83"/>
      <c r="F13" s="83"/>
    </row>
    <row r="14" spans="1:11" ht="15" thickBot="1" x14ac:dyDescent="0.4">
      <c r="A14" s="21" t="s">
        <v>36</v>
      </c>
      <c r="B14" s="24">
        <v>207</v>
      </c>
      <c r="C14" s="85">
        <v>2543.3123359918609</v>
      </c>
      <c r="D14" s="87"/>
      <c r="E14" s="87"/>
      <c r="F14" s="87"/>
    </row>
    <row r="15" spans="1:11" ht="15" thickBot="1" x14ac:dyDescent="0.4"/>
    <row r="16" spans="1:11" x14ac:dyDescent="0.35">
      <c r="A16" s="22"/>
      <c r="B16" s="22" t="s">
        <v>43</v>
      </c>
      <c r="C16" s="22" t="s">
        <v>31</v>
      </c>
      <c r="D16" s="22" t="s">
        <v>44</v>
      </c>
      <c r="E16" s="22" t="s">
        <v>45</v>
      </c>
      <c r="F16" s="22" t="s">
        <v>46</v>
      </c>
      <c r="G16" s="22" t="s">
        <v>47</v>
      </c>
      <c r="H16" s="22" t="s">
        <v>48</v>
      </c>
      <c r="I16" s="22" t="s">
        <v>49</v>
      </c>
    </row>
    <row r="17" spans="1:9" x14ac:dyDescent="0.35">
      <c r="A17" s="20" t="s">
        <v>37</v>
      </c>
      <c r="B17" s="83">
        <v>0.41837277124481287</v>
      </c>
      <c r="C17" s="83">
        <v>0.22766309759466913</v>
      </c>
      <c r="D17" s="83">
        <v>1.8376837338376324</v>
      </c>
      <c r="E17" s="83">
        <v>6.7549318745704995E-2</v>
      </c>
      <c r="F17" s="83">
        <v>-3.0475650573540625E-2</v>
      </c>
      <c r="G17" s="83">
        <v>0.86722119306316636</v>
      </c>
      <c r="H17" s="83">
        <v>-3.0475650573540625E-2</v>
      </c>
      <c r="I17" s="83">
        <v>0.86722119306316636</v>
      </c>
    </row>
    <row r="18" spans="1:9" ht="15" thickBot="1" x14ac:dyDescent="0.4">
      <c r="A18" s="21" t="s">
        <v>91</v>
      </c>
      <c r="B18" s="85">
        <v>0.79442742209325934</v>
      </c>
      <c r="C18" s="87">
        <v>0.132281483306294</v>
      </c>
      <c r="D18" s="87">
        <v>6.0055829601924353</v>
      </c>
      <c r="E18" s="87">
        <v>8.5042939527458821E-9</v>
      </c>
      <c r="F18" s="87">
        <v>0.53362830425146113</v>
      </c>
      <c r="G18" s="87">
        <v>1.0552265399350576</v>
      </c>
      <c r="H18" s="87">
        <v>0.53362830425146113</v>
      </c>
      <c r="I18" s="87">
        <v>1.0552265399350576</v>
      </c>
    </row>
    <row r="22" spans="1:9" x14ac:dyDescent="0.35">
      <c r="A22" t="s">
        <v>50</v>
      </c>
    </row>
    <row r="23" spans="1:9" ht="15" thickBot="1" x14ac:dyDescent="0.4"/>
    <row r="24" spans="1:9" x14ac:dyDescent="0.35">
      <c r="A24" s="22" t="s">
        <v>51</v>
      </c>
      <c r="B24" s="22" t="s">
        <v>96</v>
      </c>
      <c r="C24" s="25" t="s">
        <v>52</v>
      </c>
    </row>
    <row r="25" spans="1:9" x14ac:dyDescent="0.35">
      <c r="A25" s="20">
        <v>1</v>
      </c>
      <c r="B25" s="83">
        <v>1.721233743477758</v>
      </c>
      <c r="C25" s="83">
        <v>-2.3809737980936743</v>
      </c>
    </row>
    <row r="26" spans="1:9" x14ac:dyDescent="0.35">
      <c r="A26" s="20">
        <v>2</v>
      </c>
      <c r="B26" s="83">
        <v>1.4431841457451176</v>
      </c>
      <c r="C26" s="83">
        <v>9.5985154106859447</v>
      </c>
    </row>
    <row r="27" spans="1:9" x14ac:dyDescent="0.35">
      <c r="A27" s="20">
        <v>3</v>
      </c>
      <c r="B27" s="83">
        <v>4.1283488324203343</v>
      </c>
      <c r="C27" s="83">
        <v>8.6953287712499066</v>
      </c>
    </row>
    <row r="28" spans="1:9" x14ac:dyDescent="0.35">
      <c r="A28" s="20">
        <v>4</v>
      </c>
      <c r="B28" s="83">
        <v>-1.0830950565114472</v>
      </c>
      <c r="C28" s="83">
        <v>-2.5798436741741297</v>
      </c>
    </row>
    <row r="29" spans="1:9" x14ac:dyDescent="0.35">
      <c r="A29" s="20">
        <v>5</v>
      </c>
      <c r="B29" s="83">
        <v>-0.19333634376699682</v>
      </c>
      <c r="C29" s="83">
        <v>3.4350529542925736</v>
      </c>
    </row>
    <row r="30" spans="1:9" x14ac:dyDescent="0.35">
      <c r="A30" s="20">
        <v>6</v>
      </c>
      <c r="B30" s="83">
        <v>0.75203228852398185</v>
      </c>
      <c r="C30" s="83">
        <v>-0.34281016836398748</v>
      </c>
    </row>
    <row r="31" spans="1:9" x14ac:dyDescent="0.35">
      <c r="A31" s="20">
        <v>7</v>
      </c>
      <c r="B31" s="83">
        <v>-0.47138594149963764</v>
      </c>
      <c r="C31" s="83">
        <v>-0.19295313883573084</v>
      </c>
    </row>
    <row r="32" spans="1:9" x14ac:dyDescent="0.35">
      <c r="A32" s="20">
        <v>8</v>
      </c>
      <c r="B32" s="83">
        <v>-3.4450859348344909E-2</v>
      </c>
      <c r="C32" s="83">
        <v>-1.0672561872289876E-2</v>
      </c>
    </row>
    <row r="33" spans="1:3" x14ac:dyDescent="0.35">
      <c r="A33" s="20">
        <v>9</v>
      </c>
      <c r="B33" s="83">
        <v>0.58520252988439736</v>
      </c>
      <c r="C33" s="83">
        <v>-3.1877565580974565</v>
      </c>
    </row>
    <row r="34" spans="1:3" x14ac:dyDescent="0.35">
      <c r="A34" s="20">
        <v>10</v>
      </c>
      <c r="B34" s="83">
        <v>1.4193513230823196</v>
      </c>
      <c r="C34" s="83">
        <v>-1.0631249723953911</v>
      </c>
    </row>
    <row r="35" spans="1:3" x14ac:dyDescent="0.35">
      <c r="A35" s="20">
        <v>11</v>
      </c>
      <c r="B35" s="83">
        <v>0.86325212761703818</v>
      </c>
      <c r="C35" s="83">
        <v>-1.7090954357391399</v>
      </c>
    </row>
    <row r="36" spans="1:3" x14ac:dyDescent="0.35">
      <c r="A36" s="20">
        <v>12</v>
      </c>
      <c r="B36" s="83">
        <v>-1.4088102995696834</v>
      </c>
      <c r="C36" s="83">
        <v>2.3251054320318798</v>
      </c>
    </row>
    <row r="37" spans="1:3" x14ac:dyDescent="0.35">
      <c r="A37" s="20">
        <v>13</v>
      </c>
      <c r="B37" s="83">
        <v>0.97447196671009439</v>
      </c>
      <c r="C37" s="83">
        <v>1.9607219245575749</v>
      </c>
    </row>
    <row r="38" spans="1:3" x14ac:dyDescent="0.35">
      <c r="A38" s="20">
        <v>14</v>
      </c>
      <c r="B38" s="83">
        <v>-2.673762464614593E-3</v>
      </c>
      <c r="C38" s="83">
        <v>1.0810059465766155</v>
      </c>
    </row>
    <row r="39" spans="1:3" x14ac:dyDescent="0.35">
      <c r="A39" s="20">
        <v>15</v>
      </c>
      <c r="B39" s="83">
        <v>0.53753688455880178</v>
      </c>
      <c r="C39" s="83">
        <v>-1.085663717591244</v>
      </c>
    </row>
    <row r="40" spans="1:3" x14ac:dyDescent="0.35">
      <c r="A40" s="20">
        <v>16</v>
      </c>
      <c r="B40" s="83">
        <v>0.56136970722159951</v>
      </c>
      <c r="C40" s="83">
        <v>-2.7079746610433131</v>
      </c>
    </row>
    <row r="41" spans="1:3" x14ac:dyDescent="0.35">
      <c r="A41" s="20">
        <v>17</v>
      </c>
      <c r="B41" s="83">
        <v>0.86325212761703818</v>
      </c>
      <c r="C41" s="83">
        <v>0.40147422006978317</v>
      </c>
    </row>
    <row r="42" spans="1:3" x14ac:dyDescent="0.35">
      <c r="A42" s="20">
        <v>18</v>
      </c>
      <c r="B42" s="83">
        <v>0.47398269079134103</v>
      </c>
      <c r="C42" s="83">
        <v>0.47360362981682802</v>
      </c>
    </row>
    <row r="43" spans="1:3" x14ac:dyDescent="0.35">
      <c r="A43" s="20">
        <v>19</v>
      </c>
      <c r="B43" s="83">
        <v>0.89502922450076849</v>
      </c>
      <c r="C43" s="83">
        <v>1.3302340229440632</v>
      </c>
    </row>
    <row r="44" spans="1:3" x14ac:dyDescent="0.35">
      <c r="A44" s="20">
        <v>20</v>
      </c>
      <c r="B44" s="83">
        <v>1.6894566465940279</v>
      </c>
      <c r="C44" s="83">
        <v>1.8131539622671511</v>
      </c>
    </row>
    <row r="45" spans="1:3" x14ac:dyDescent="0.35">
      <c r="A45" s="20">
        <v>21</v>
      </c>
      <c r="B45" s="83">
        <v>1.5146826137335108</v>
      </c>
      <c r="C45" s="83">
        <v>-0.1440206857549422</v>
      </c>
    </row>
    <row r="46" spans="1:3" x14ac:dyDescent="0.35">
      <c r="A46" s="20">
        <v>22</v>
      </c>
      <c r="B46" s="83">
        <v>2.9128748766176473</v>
      </c>
      <c r="C46" s="83">
        <v>-3.4081779895406354</v>
      </c>
    </row>
    <row r="47" spans="1:3" x14ac:dyDescent="0.35">
      <c r="A47" s="20">
        <v>23</v>
      </c>
      <c r="B47" s="83">
        <v>-0.85271110410440221</v>
      </c>
      <c r="C47" s="83">
        <v>-1.4815531227022301</v>
      </c>
    </row>
    <row r="48" spans="1:3" x14ac:dyDescent="0.35">
      <c r="A48" s="20">
        <v>24</v>
      </c>
      <c r="B48" s="83">
        <v>-0.53494013526709827</v>
      </c>
      <c r="C48" s="83">
        <v>-3.0959690797672739</v>
      </c>
    </row>
    <row r="49" spans="1:3" x14ac:dyDescent="0.35">
      <c r="A49" s="20">
        <v>25</v>
      </c>
      <c r="B49" s="83">
        <v>0.21976591572149803</v>
      </c>
      <c r="C49" s="83">
        <v>0.61663677794926519</v>
      </c>
    </row>
    <row r="50" spans="1:3" x14ac:dyDescent="0.35">
      <c r="A50" s="20">
        <v>26</v>
      </c>
      <c r="B50" s="83">
        <v>0.54548115877973435</v>
      </c>
      <c r="C50" s="83">
        <v>-1.3499786988498146</v>
      </c>
    </row>
    <row r="51" spans="1:3" x14ac:dyDescent="0.35">
      <c r="A51" s="20">
        <v>27</v>
      </c>
      <c r="B51" s="83">
        <v>2.3488314069314331</v>
      </c>
      <c r="C51" s="83">
        <v>1.8421975375448429</v>
      </c>
    </row>
    <row r="52" spans="1:3" x14ac:dyDescent="0.35">
      <c r="A52" s="20">
        <v>28</v>
      </c>
      <c r="B52" s="83">
        <v>0.84736357917517302</v>
      </c>
      <c r="C52" s="83">
        <v>2.3922005619416744</v>
      </c>
    </row>
    <row r="53" spans="1:3" x14ac:dyDescent="0.35">
      <c r="A53" s="20">
        <v>29</v>
      </c>
      <c r="B53" s="83">
        <v>5.270511756317986E-3</v>
      </c>
      <c r="C53" s="83">
        <v>1.6243272221840583</v>
      </c>
    </row>
    <row r="54" spans="1:3" x14ac:dyDescent="0.35">
      <c r="A54" s="20">
        <v>30</v>
      </c>
      <c r="B54" s="83">
        <v>-8.2116504673940494E-2</v>
      </c>
      <c r="C54" s="83">
        <v>-2.2739372011278407</v>
      </c>
    </row>
    <row r="55" spans="1:3" x14ac:dyDescent="0.35">
      <c r="A55" s="20">
        <v>31</v>
      </c>
      <c r="B55" s="83">
        <v>-0.52699586104616569</v>
      </c>
      <c r="C55" s="83">
        <v>3.6133461132356568</v>
      </c>
    </row>
    <row r="56" spans="1:3" x14ac:dyDescent="0.35">
      <c r="A56" s="20">
        <v>32</v>
      </c>
      <c r="B56" s="83">
        <v>1.0062490635938248</v>
      </c>
      <c r="C56" s="83">
        <v>-2.2003743143019081</v>
      </c>
    </row>
    <row r="57" spans="1:3" x14ac:dyDescent="0.35">
      <c r="A57" s="20">
        <v>33</v>
      </c>
      <c r="B57" s="83">
        <v>1.9595619701057359</v>
      </c>
      <c r="C57" s="83">
        <v>3.2301522974054064</v>
      </c>
    </row>
    <row r="58" spans="1:3" x14ac:dyDescent="0.35">
      <c r="A58" s="20">
        <v>34</v>
      </c>
      <c r="B58" s="83">
        <v>-0.51110731260430053</v>
      </c>
      <c r="C58" s="83">
        <v>-1.1571973499314732</v>
      </c>
    </row>
    <row r="59" spans="1:3" x14ac:dyDescent="0.35">
      <c r="A59" s="20">
        <v>35</v>
      </c>
      <c r="B59" s="83">
        <v>2.054893260756927</v>
      </c>
      <c r="C59" s="83">
        <v>1.4994635721552543</v>
      </c>
    </row>
    <row r="60" spans="1:3" x14ac:dyDescent="0.35">
      <c r="A60" s="20">
        <v>36</v>
      </c>
      <c r="B60" s="83">
        <v>-0.21716916642979467</v>
      </c>
      <c r="C60" s="83">
        <v>-3.6741386473065751</v>
      </c>
    </row>
    <row r="61" spans="1:3" x14ac:dyDescent="0.35">
      <c r="A61" s="20">
        <v>37</v>
      </c>
      <c r="B61" s="83">
        <v>1.5464597106172411</v>
      </c>
      <c r="C61" s="83">
        <v>-3.0461191666029492</v>
      </c>
    </row>
    <row r="62" spans="1:3" x14ac:dyDescent="0.35">
      <c r="A62" s="20">
        <v>38</v>
      </c>
      <c r="B62" s="83">
        <v>1.2128001933380723</v>
      </c>
      <c r="C62" s="83">
        <v>1.8897943755369688</v>
      </c>
    </row>
    <row r="63" spans="1:3" x14ac:dyDescent="0.35">
      <c r="A63" s="20">
        <v>39</v>
      </c>
      <c r="B63" s="83">
        <v>2.8652092312920514</v>
      </c>
      <c r="C63" s="83">
        <v>-1.9091192837769284</v>
      </c>
    </row>
    <row r="64" spans="1:3" x14ac:dyDescent="0.35">
      <c r="A64" s="20">
        <v>40</v>
      </c>
      <c r="B64" s="83">
        <v>1.8801192278964101</v>
      </c>
      <c r="C64" s="83">
        <v>-0.32791684466453375</v>
      </c>
    </row>
    <row r="65" spans="1:3" x14ac:dyDescent="0.35">
      <c r="A65" s="20">
        <v>41</v>
      </c>
      <c r="B65" s="83">
        <v>2.8731535055129838</v>
      </c>
      <c r="C65" s="83">
        <v>-3.8056700443563862</v>
      </c>
    </row>
    <row r="66" spans="1:3" x14ac:dyDescent="0.35">
      <c r="A66" s="20">
        <v>42</v>
      </c>
      <c r="B66" s="83">
        <v>-0.23305771487165972</v>
      </c>
      <c r="C66" s="83">
        <v>-3.2889604005695121</v>
      </c>
    </row>
    <row r="67" spans="1:3" x14ac:dyDescent="0.35">
      <c r="A67" s="20">
        <v>43</v>
      </c>
      <c r="B67" s="83">
        <v>-2.2509033669885383</v>
      </c>
      <c r="C67" s="83">
        <v>-6.0566806258106389</v>
      </c>
    </row>
    <row r="68" spans="1:3" x14ac:dyDescent="0.35">
      <c r="A68" s="20">
        <v>44</v>
      </c>
      <c r="B68" s="83">
        <v>1.7768436630242863</v>
      </c>
      <c r="C68" s="83">
        <v>6.2433618930895376</v>
      </c>
    </row>
    <row r="69" spans="1:3" x14ac:dyDescent="0.35">
      <c r="A69" s="20">
        <v>45</v>
      </c>
      <c r="B69" s="83">
        <v>1.5146826137335108</v>
      </c>
      <c r="C69" s="83">
        <v>-6.5666472715236246</v>
      </c>
    </row>
    <row r="70" spans="1:3" x14ac:dyDescent="0.35">
      <c r="A70" s="20">
        <v>46</v>
      </c>
      <c r="B70" s="83">
        <v>-1.6074171550929981</v>
      </c>
      <c r="C70" s="83">
        <v>-4.1276816365254199</v>
      </c>
    </row>
    <row r="71" spans="1:3" x14ac:dyDescent="0.35">
      <c r="A71" s="20">
        <v>47</v>
      </c>
      <c r="B71" s="83">
        <v>-4.5229657941752599</v>
      </c>
      <c r="C71" s="83">
        <v>-1.6129326792050982</v>
      </c>
    </row>
    <row r="72" spans="1:3" x14ac:dyDescent="0.35">
      <c r="A72" s="20">
        <v>48</v>
      </c>
      <c r="B72" s="83">
        <v>-0.29661190863912057</v>
      </c>
      <c r="C72" s="83">
        <v>-1.0760004723473215</v>
      </c>
    </row>
    <row r="73" spans="1:3" x14ac:dyDescent="0.35">
      <c r="A73" s="20">
        <v>49</v>
      </c>
      <c r="B73" s="83">
        <v>2.6666023757687372</v>
      </c>
      <c r="C73" s="83">
        <v>2.6788390886864653</v>
      </c>
    </row>
    <row r="74" spans="1:3" x14ac:dyDescent="0.35">
      <c r="A74" s="20">
        <v>50</v>
      </c>
      <c r="B74" s="83">
        <v>0.14032317351217211</v>
      </c>
      <c r="C74" s="83">
        <v>-0.83791296070850918</v>
      </c>
    </row>
    <row r="75" spans="1:3" x14ac:dyDescent="0.35">
      <c r="A75" s="20">
        <v>51</v>
      </c>
      <c r="B75" s="83">
        <v>-2.7037269975816969</v>
      </c>
      <c r="C75" s="83">
        <v>0.44619200674877701</v>
      </c>
    </row>
    <row r="76" spans="1:3" x14ac:dyDescent="0.35">
      <c r="A76" s="20">
        <v>52</v>
      </c>
      <c r="B76" s="83">
        <v>0.26743156104709359</v>
      </c>
      <c r="C76" s="83">
        <v>-2.2413261920170027</v>
      </c>
    </row>
    <row r="77" spans="1:3" x14ac:dyDescent="0.35">
      <c r="A77" s="20">
        <v>53</v>
      </c>
      <c r="B77" s="83">
        <v>0.72025519164025142</v>
      </c>
      <c r="C77" s="83">
        <v>-1.0719155148019133</v>
      </c>
    </row>
    <row r="78" spans="1:3" x14ac:dyDescent="0.35">
      <c r="A78" s="20">
        <v>54</v>
      </c>
      <c r="B78" s="83">
        <v>2.9128748766176473</v>
      </c>
      <c r="C78" s="83">
        <v>-1.8974546573748379</v>
      </c>
    </row>
    <row r="79" spans="1:3" x14ac:dyDescent="0.35">
      <c r="A79" s="20">
        <v>55</v>
      </c>
      <c r="B79" s="83">
        <v>-2.5368972389421121</v>
      </c>
      <c r="C79" s="83">
        <v>5.3218856912269965</v>
      </c>
    </row>
    <row r="80" spans="1:3" x14ac:dyDescent="0.35">
      <c r="A80" s="20">
        <v>56</v>
      </c>
      <c r="B80" s="83">
        <v>1.5146826137335108</v>
      </c>
      <c r="C80" s="83">
        <v>8.439612170248866</v>
      </c>
    </row>
    <row r="81" spans="1:3" x14ac:dyDescent="0.35">
      <c r="A81" s="20">
        <v>57</v>
      </c>
      <c r="B81" s="83">
        <v>0.55342543300066693</v>
      </c>
      <c r="C81" s="83">
        <v>-0.86474154014792615</v>
      </c>
    </row>
    <row r="82" spans="1:3" x14ac:dyDescent="0.35">
      <c r="A82" s="20">
        <v>58</v>
      </c>
      <c r="B82" s="83">
        <v>1.7688993888033537</v>
      </c>
      <c r="C82" s="83">
        <v>-6.7107641629064574E-2</v>
      </c>
    </row>
    <row r="83" spans="1:3" x14ac:dyDescent="0.35">
      <c r="A83" s="20">
        <v>59</v>
      </c>
      <c r="B83" s="83">
        <v>0.91091777294263365</v>
      </c>
      <c r="C83" s="83">
        <v>-1.7206438774093247</v>
      </c>
    </row>
    <row r="84" spans="1:3" x14ac:dyDescent="0.35">
      <c r="A84" s="20">
        <v>60</v>
      </c>
      <c r="B84" s="83">
        <v>3.1512031032456251</v>
      </c>
      <c r="C84" s="83">
        <v>-2.6121178970304277</v>
      </c>
    </row>
    <row r="85" spans="1:3" x14ac:dyDescent="0.35">
      <c r="A85" s="20">
        <v>61</v>
      </c>
      <c r="B85" s="83">
        <v>0.99830478937289213</v>
      </c>
      <c r="C85" s="83">
        <v>-1.223275391644169</v>
      </c>
    </row>
    <row r="86" spans="1:3" x14ac:dyDescent="0.35">
      <c r="A86" s="20">
        <v>62</v>
      </c>
      <c r="B86" s="83">
        <v>-0.98776376586025627</v>
      </c>
      <c r="C86" s="83">
        <v>2.5732958312050895</v>
      </c>
    </row>
    <row r="87" spans="1:3" x14ac:dyDescent="0.35">
      <c r="A87" s="20">
        <v>63</v>
      </c>
      <c r="B87" s="83">
        <v>0.29920865793082396</v>
      </c>
      <c r="C87" s="83">
        <v>2.4787589346069154</v>
      </c>
    </row>
    <row r="88" spans="1:3" x14ac:dyDescent="0.35">
      <c r="A88" s="20">
        <v>64</v>
      </c>
      <c r="B88" s="83">
        <v>2.078726083419725</v>
      </c>
      <c r="C88" s="83">
        <v>0.24861072788015903</v>
      </c>
    </row>
    <row r="89" spans="1:3" x14ac:dyDescent="0.35">
      <c r="A89" s="20">
        <v>65</v>
      </c>
      <c r="B89" s="83">
        <v>-2.0284636888024261</v>
      </c>
      <c r="C89" s="83">
        <v>3.2370811804712294</v>
      </c>
    </row>
    <row r="90" spans="1:3" x14ac:dyDescent="0.35">
      <c r="A90" s="20">
        <v>66</v>
      </c>
      <c r="B90" s="83">
        <v>1.2684101128846004</v>
      </c>
      <c r="C90" s="83">
        <v>-4.6174022262699292</v>
      </c>
    </row>
    <row r="91" spans="1:3" x14ac:dyDescent="0.35">
      <c r="A91" s="20">
        <v>67</v>
      </c>
      <c r="B91" s="83">
        <v>-4.1019192604658334</v>
      </c>
      <c r="C91" s="83">
        <v>1.1806681916770452</v>
      </c>
    </row>
    <row r="92" spans="1:3" x14ac:dyDescent="0.35">
      <c r="A92" s="20">
        <v>68</v>
      </c>
      <c r="B92" s="83">
        <v>0.96652769248916182</v>
      </c>
      <c r="C92" s="83">
        <v>-3.7602059722143539</v>
      </c>
    </row>
    <row r="93" spans="1:3" x14ac:dyDescent="0.35">
      <c r="A93" s="20">
        <v>69</v>
      </c>
      <c r="B93" s="83">
        <v>-0.66204852280201987</v>
      </c>
      <c r="C93" s="83">
        <v>0.83850715761166683</v>
      </c>
    </row>
    <row r="94" spans="1:3" x14ac:dyDescent="0.35">
      <c r="A94" s="20">
        <v>70</v>
      </c>
      <c r="B94" s="83">
        <v>1.3637414035357915</v>
      </c>
      <c r="C94" s="83">
        <v>2.9926653544762569</v>
      </c>
    </row>
    <row r="95" spans="1:3" x14ac:dyDescent="0.35">
      <c r="A95" s="20">
        <v>71</v>
      </c>
      <c r="B95" s="83">
        <v>-1.4326431222324814</v>
      </c>
      <c r="C95" s="83">
        <v>4.5895587253568815</v>
      </c>
    </row>
    <row r="96" spans="1:3" x14ac:dyDescent="0.35">
      <c r="A96" s="20">
        <v>72</v>
      </c>
      <c r="B96" s="83">
        <v>2.2217230193965118</v>
      </c>
      <c r="C96" s="83">
        <v>0.10283739228112543</v>
      </c>
    </row>
    <row r="97" spans="1:3" x14ac:dyDescent="0.35">
      <c r="A97" s="20">
        <v>73</v>
      </c>
      <c r="B97" s="83">
        <v>0.40248422280294771</v>
      </c>
      <c r="C97" s="83">
        <v>4.3125348173725939</v>
      </c>
    </row>
    <row r="98" spans="1:3" x14ac:dyDescent="0.35">
      <c r="A98" s="20">
        <v>74</v>
      </c>
      <c r="B98" s="83">
        <v>-0.63821570013922213</v>
      </c>
      <c r="C98" s="83">
        <v>1.7745835370934839</v>
      </c>
    </row>
    <row r="99" spans="1:3" x14ac:dyDescent="0.35">
      <c r="A99" s="20">
        <v>75</v>
      </c>
      <c r="B99" s="83">
        <v>0.14032317351217211</v>
      </c>
      <c r="C99" s="83">
        <v>2.2782988684865839</v>
      </c>
    </row>
    <row r="100" spans="1:3" x14ac:dyDescent="0.35">
      <c r="A100" s="20">
        <v>76</v>
      </c>
      <c r="B100" s="83">
        <v>1.0777475315822183</v>
      </c>
      <c r="C100" s="83">
        <v>-1.2372789573069134</v>
      </c>
    </row>
    <row r="101" spans="1:3" x14ac:dyDescent="0.35">
      <c r="A101" s="20">
        <v>77</v>
      </c>
      <c r="B101" s="83">
        <v>0.50575978767507135</v>
      </c>
      <c r="C101" s="83">
        <v>0.4016443761846793</v>
      </c>
    </row>
    <row r="102" spans="1:3" x14ac:dyDescent="0.35">
      <c r="A102" s="20">
        <v>78</v>
      </c>
      <c r="B102" s="83">
        <v>0.18798881883776766</v>
      </c>
      <c r="C102" s="83">
        <v>0.29575657236847419</v>
      </c>
    </row>
    <row r="103" spans="1:3" x14ac:dyDescent="0.35">
      <c r="A103" s="20">
        <v>79</v>
      </c>
      <c r="B103" s="83">
        <v>-0.20922489220886209</v>
      </c>
      <c r="C103" s="83">
        <v>0.96638969724386359</v>
      </c>
    </row>
    <row r="104" spans="1:3" x14ac:dyDescent="0.35">
      <c r="A104" s="20">
        <v>80</v>
      </c>
      <c r="B104" s="83">
        <v>0.67258954631465584</v>
      </c>
      <c r="C104" s="83">
        <v>-0.9977862992464086</v>
      </c>
    </row>
    <row r="105" spans="1:3" x14ac:dyDescent="0.35">
      <c r="A105" s="20">
        <v>81</v>
      </c>
      <c r="B105" s="83">
        <v>0.74408801430304916</v>
      </c>
      <c r="C105" s="83">
        <v>-0.6369809987241799</v>
      </c>
    </row>
    <row r="106" spans="1:3" x14ac:dyDescent="0.35">
      <c r="A106" s="20">
        <v>82</v>
      </c>
      <c r="B106" s="83">
        <v>0.74408801430304916</v>
      </c>
      <c r="C106" s="83">
        <v>-0.85207216785089779</v>
      </c>
    </row>
    <row r="107" spans="1:3" x14ac:dyDescent="0.35">
      <c r="A107" s="20">
        <v>83</v>
      </c>
      <c r="B107" s="83">
        <v>-0.19333634376699682</v>
      </c>
      <c r="C107" s="83">
        <v>-1.2532398303860632</v>
      </c>
    </row>
    <row r="108" spans="1:3" x14ac:dyDescent="0.35">
      <c r="A108" s="20">
        <v>84</v>
      </c>
      <c r="B108" s="83">
        <v>1.824509308349882</v>
      </c>
      <c r="C108" s="83">
        <v>1.9689727129692782</v>
      </c>
    </row>
    <row r="109" spans="1:3" x14ac:dyDescent="0.35">
      <c r="A109" s="20">
        <v>85</v>
      </c>
      <c r="B109" s="83">
        <v>-0.39194319929031163</v>
      </c>
      <c r="C109" s="83">
        <v>-0.70796806888429586</v>
      </c>
    </row>
    <row r="110" spans="1:3" x14ac:dyDescent="0.35">
      <c r="A110" s="20">
        <v>86</v>
      </c>
      <c r="B110" s="83">
        <v>1.745066566140556</v>
      </c>
      <c r="C110" s="83">
        <v>-1.8006900259350325</v>
      </c>
    </row>
    <row r="111" spans="1:3" x14ac:dyDescent="0.35">
      <c r="A111" s="20">
        <v>87</v>
      </c>
      <c r="B111" s="83">
        <v>0.77586511118677959</v>
      </c>
      <c r="C111" s="83">
        <v>0.76415349067108429</v>
      </c>
    </row>
    <row r="112" spans="1:3" x14ac:dyDescent="0.35">
      <c r="A112" s="20">
        <v>88</v>
      </c>
      <c r="B112" s="83">
        <v>-1.2975904604766275</v>
      </c>
      <c r="C112" s="83">
        <v>4.3383736093202243</v>
      </c>
    </row>
    <row r="113" spans="1:3" x14ac:dyDescent="0.35">
      <c r="A113" s="20">
        <v>89</v>
      </c>
      <c r="B113" s="83">
        <v>2.4759397944663544</v>
      </c>
      <c r="C113" s="83">
        <v>-1.0942298755047342</v>
      </c>
    </row>
    <row r="114" spans="1:3" x14ac:dyDescent="0.35">
      <c r="A114" s="20">
        <v>90</v>
      </c>
      <c r="B114" s="83">
        <v>-6.6227956232075336E-2</v>
      </c>
      <c r="C114" s="83">
        <v>3.6665069821913105</v>
      </c>
    </row>
    <row r="115" spans="1:3" x14ac:dyDescent="0.35">
      <c r="A115" s="20">
        <v>91</v>
      </c>
      <c r="B115" s="83">
        <v>-0.66204852280201987</v>
      </c>
      <c r="C115" s="83">
        <v>3.2184896172171178</v>
      </c>
    </row>
    <row r="116" spans="1:3" x14ac:dyDescent="0.35">
      <c r="A116" s="20">
        <v>92</v>
      </c>
      <c r="B116" s="83">
        <v>0.26743156104709359</v>
      </c>
      <c r="C116" s="83">
        <v>-1.4320234729829084</v>
      </c>
    </row>
    <row r="117" spans="1:3" x14ac:dyDescent="0.35">
      <c r="A117" s="20">
        <v>93</v>
      </c>
      <c r="B117" s="83">
        <v>1.0539147089194203</v>
      </c>
      <c r="C117" s="83">
        <v>-2.5658821058596013</v>
      </c>
    </row>
    <row r="118" spans="1:3" x14ac:dyDescent="0.35">
      <c r="A118" s="20">
        <v>94</v>
      </c>
      <c r="B118" s="83">
        <v>2.0866703576406573</v>
      </c>
      <c r="C118" s="83">
        <v>-2.3254042174914535</v>
      </c>
    </row>
    <row r="119" spans="1:3" x14ac:dyDescent="0.35">
      <c r="A119" s="20">
        <v>95</v>
      </c>
      <c r="B119" s="83">
        <v>3.0558718125944342</v>
      </c>
      <c r="C119" s="83">
        <v>1.6501580507734728</v>
      </c>
    </row>
    <row r="120" spans="1:3" x14ac:dyDescent="0.35">
      <c r="A120" s="20">
        <v>96</v>
      </c>
      <c r="B120" s="83">
        <v>-1.5676957839883354</v>
      </c>
      <c r="C120" s="83">
        <v>-2.5995719042345442</v>
      </c>
    </row>
    <row r="121" spans="1:3" x14ac:dyDescent="0.35">
      <c r="A121" s="20">
        <v>97</v>
      </c>
      <c r="B121" s="83">
        <v>1.721233743477758</v>
      </c>
      <c r="C121" s="83">
        <v>0.27944555388153058</v>
      </c>
    </row>
    <row r="122" spans="1:3" x14ac:dyDescent="0.35">
      <c r="A122" s="20">
        <v>98</v>
      </c>
      <c r="B122" s="83">
        <v>-0.63027142591828955</v>
      </c>
      <c r="C122" s="83">
        <v>-3.1551073060666819</v>
      </c>
    </row>
    <row r="123" spans="1:3" x14ac:dyDescent="0.35">
      <c r="A123" s="20">
        <v>99</v>
      </c>
      <c r="B123" s="83">
        <v>-0.2012806179879294</v>
      </c>
      <c r="C123" s="83">
        <v>-0.85444770465971098</v>
      </c>
    </row>
    <row r="124" spans="1:3" x14ac:dyDescent="0.35">
      <c r="A124" s="20">
        <v>100</v>
      </c>
      <c r="B124" s="83">
        <v>-0.67793707124388503</v>
      </c>
      <c r="C124" s="83">
        <v>-1.3435044778283656</v>
      </c>
    </row>
    <row r="125" spans="1:3" x14ac:dyDescent="0.35">
      <c r="A125" s="20">
        <v>101</v>
      </c>
      <c r="B125" s="83">
        <v>1.2366330160008701</v>
      </c>
      <c r="C125" s="83">
        <v>2.1357816044446603</v>
      </c>
    </row>
    <row r="126" spans="1:3" x14ac:dyDescent="0.35">
      <c r="A126" s="20">
        <v>102</v>
      </c>
      <c r="B126" s="83">
        <v>3.1750359259084231</v>
      </c>
      <c r="C126" s="83">
        <v>-0.47783291478621726</v>
      </c>
    </row>
    <row r="127" spans="1:3" x14ac:dyDescent="0.35">
      <c r="A127" s="20">
        <v>103</v>
      </c>
      <c r="B127" s="83">
        <v>-2.314457560755999</v>
      </c>
      <c r="C127" s="83">
        <v>-1.9085947026388039</v>
      </c>
    </row>
    <row r="128" spans="1:3" x14ac:dyDescent="0.35">
      <c r="A128" s="20">
        <v>104</v>
      </c>
      <c r="B128" s="83">
        <v>0.6487567236518581</v>
      </c>
      <c r="C128" s="83">
        <v>0.52290088795500078</v>
      </c>
    </row>
    <row r="129" spans="1:3" x14ac:dyDescent="0.35">
      <c r="A129" s="20">
        <v>105</v>
      </c>
      <c r="B129" s="83">
        <v>0.62492390098906037</v>
      </c>
      <c r="C129" s="83">
        <v>-3.1272268884630785</v>
      </c>
    </row>
    <row r="130" spans="1:3" x14ac:dyDescent="0.35">
      <c r="A130" s="20">
        <v>106</v>
      </c>
      <c r="B130" s="83">
        <v>1.2525215644427352</v>
      </c>
      <c r="C130" s="83">
        <v>2.3161301233686311</v>
      </c>
    </row>
    <row r="131" spans="1:3" x14ac:dyDescent="0.35">
      <c r="A131" s="20">
        <v>107</v>
      </c>
      <c r="B131" s="83">
        <v>0.84736357917517302</v>
      </c>
      <c r="C131" s="83">
        <v>-4.6996585790479601</v>
      </c>
    </row>
    <row r="132" spans="1:3" x14ac:dyDescent="0.35">
      <c r="A132" s="20">
        <v>108</v>
      </c>
      <c r="B132" s="83">
        <v>0.96652769248916182</v>
      </c>
      <c r="C132" s="83">
        <v>1.8734153863883276</v>
      </c>
    </row>
    <row r="133" spans="1:3" x14ac:dyDescent="0.35">
      <c r="A133" s="20">
        <v>109</v>
      </c>
      <c r="B133" s="83">
        <v>2.6983794726524675</v>
      </c>
      <c r="C133" s="83">
        <v>1.0756660333185546</v>
      </c>
    </row>
    <row r="134" spans="1:3" x14ac:dyDescent="0.35">
      <c r="A134" s="20">
        <v>110</v>
      </c>
      <c r="B134" s="83">
        <v>3.6437481049434455</v>
      </c>
      <c r="C134" s="83">
        <v>-6.6505892531459398</v>
      </c>
    </row>
    <row r="135" spans="1:3" x14ac:dyDescent="0.35">
      <c r="A135" s="20">
        <v>111</v>
      </c>
      <c r="B135" s="83">
        <v>1.321478597725062E-2</v>
      </c>
      <c r="C135" s="83">
        <v>7.4887548229586551</v>
      </c>
    </row>
    <row r="136" spans="1:3" x14ac:dyDescent="0.35">
      <c r="A136" s="20">
        <v>112</v>
      </c>
      <c r="B136" s="83">
        <v>-2.4336216740699879</v>
      </c>
      <c r="C136" s="83">
        <v>1.5435916225688786</v>
      </c>
    </row>
    <row r="137" spans="1:3" x14ac:dyDescent="0.35">
      <c r="A137" s="20">
        <v>113</v>
      </c>
      <c r="B137" s="83">
        <v>-0.20922489220886209</v>
      </c>
      <c r="C137" s="83">
        <v>-2.2291531438013061</v>
      </c>
    </row>
    <row r="138" spans="1:3" x14ac:dyDescent="0.35">
      <c r="A138" s="20">
        <v>114</v>
      </c>
      <c r="B138" s="83">
        <v>-0.83682255566253705</v>
      </c>
      <c r="C138" s="83">
        <v>-2.204774196951949</v>
      </c>
    </row>
    <row r="139" spans="1:3" x14ac:dyDescent="0.35">
      <c r="A139" s="20">
        <v>115</v>
      </c>
      <c r="B139" s="83">
        <v>1.1333574511287463</v>
      </c>
      <c r="C139" s="83">
        <v>-0.65288469731915866</v>
      </c>
    </row>
    <row r="140" spans="1:3" x14ac:dyDescent="0.35">
      <c r="A140" s="20">
        <v>116</v>
      </c>
      <c r="B140" s="83">
        <v>-0.26483481175539014</v>
      </c>
      <c r="C140" s="83">
        <v>-0.51476760495921026</v>
      </c>
    </row>
    <row r="141" spans="1:3" x14ac:dyDescent="0.35">
      <c r="A141" s="20">
        <v>117</v>
      </c>
      <c r="B141" s="83">
        <v>0.56136970722159951</v>
      </c>
      <c r="C141" s="83">
        <v>-1.9848800168098042</v>
      </c>
    </row>
    <row r="142" spans="1:3" x14ac:dyDescent="0.35">
      <c r="A142" s="20">
        <v>118</v>
      </c>
      <c r="B142" s="83">
        <v>1.1254131769078137</v>
      </c>
      <c r="C142" s="83">
        <v>-1.2431318942827767</v>
      </c>
    </row>
    <row r="143" spans="1:3" x14ac:dyDescent="0.35">
      <c r="A143" s="20">
        <v>119</v>
      </c>
      <c r="B143" s="83">
        <v>1.8403978567917472</v>
      </c>
      <c r="C143" s="83">
        <v>-3.4161578982028011</v>
      </c>
    </row>
    <row r="144" spans="1:3" x14ac:dyDescent="0.35">
      <c r="A144" s="20">
        <v>120</v>
      </c>
      <c r="B144" s="83">
        <v>1.4590726941869827</v>
      </c>
      <c r="C144" s="83">
        <v>0.99845943318290487</v>
      </c>
    </row>
    <row r="145" spans="1:3" x14ac:dyDescent="0.35">
      <c r="A145" s="20">
        <v>121</v>
      </c>
      <c r="B145" s="83">
        <v>0.82353075651237506</v>
      </c>
      <c r="C145" s="83">
        <v>2.3627882455148992</v>
      </c>
    </row>
    <row r="146" spans="1:3" x14ac:dyDescent="0.35">
      <c r="A146" s="20">
        <v>122</v>
      </c>
      <c r="B146" s="83">
        <v>-1.6709713488604592</v>
      </c>
      <c r="C146" s="83">
        <v>0.87997997725093746</v>
      </c>
    </row>
    <row r="147" spans="1:3" x14ac:dyDescent="0.35">
      <c r="A147" s="20">
        <v>123</v>
      </c>
      <c r="B147" s="83">
        <v>0.41042849702388029</v>
      </c>
      <c r="C147" s="83">
        <v>-0.7734132684238797</v>
      </c>
    </row>
    <row r="148" spans="1:3" x14ac:dyDescent="0.35">
      <c r="A148" s="20">
        <v>124</v>
      </c>
      <c r="B148" s="83">
        <v>0.71231091741931885</v>
      </c>
      <c r="C148" s="83">
        <v>-0.28870037915665547</v>
      </c>
    </row>
    <row r="149" spans="1:3" x14ac:dyDescent="0.35">
      <c r="A149" s="20">
        <v>125</v>
      </c>
      <c r="B149" s="83">
        <v>-0.65410424858108729</v>
      </c>
      <c r="C149" s="83">
        <v>-4.3143926606722074</v>
      </c>
    </row>
    <row r="150" spans="1:3" x14ac:dyDescent="0.35">
      <c r="A150" s="20">
        <v>126</v>
      </c>
      <c r="B150" s="83">
        <v>1.5146826137335108</v>
      </c>
      <c r="C150" s="83">
        <v>-0.23708868344169409</v>
      </c>
    </row>
    <row r="151" spans="1:3" x14ac:dyDescent="0.35">
      <c r="A151" s="20">
        <v>127</v>
      </c>
      <c r="B151" s="83">
        <v>0.37070712591921728</v>
      </c>
      <c r="C151" s="83">
        <v>-4.2690516479138596</v>
      </c>
    </row>
    <row r="152" spans="1:3" x14ac:dyDescent="0.35">
      <c r="A152" s="20">
        <v>128</v>
      </c>
      <c r="B152" s="83">
        <v>1.6179581786056345</v>
      </c>
      <c r="C152" s="83">
        <v>2.4605035188016489E-2</v>
      </c>
    </row>
    <row r="153" spans="1:3" x14ac:dyDescent="0.35">
      <c r="A153" s="20">
        <v>129</v>
      </c>
      <c r="B153" s="83">
        <v>5.270511756317986E-3</v>
      </c>
      <c r="C153" s="83">
        <v>-2.7121753957471979</v>
      </c>
    </row>
    <row r="154" spans="1:3" x14ac:dyDescent="0.35">
      <c r="A154" s="20">
        <v>130</v>
      </c>
      <c r="B154" s="83">
        <v>1.6894566465940279</v>
      </c>
      <c r="C154" s="83">
        <v>4.1497826030039793</v>
      </c>
    </row>
    <row r="155" spans="1:3" x14ac:dyDescent="0.35">
      <c r="A155" s="20">
        <v>131</v>
      </c>
      <c r="B155" s="83">
        <v>1.3557971293148587</v>
      </c>
      <c r="C155" s="83">
        <v>1.7582217102895643</v>
      </c>
    </row>
    <row r="156" spans="1:3" x14ac:dyDescent="0.35">
      <c r="A156" s="20">
        <v>132</v>
      </c>
      <c r="B156" s="83">
        <v>1.5226268879544433</v>
      </c>
      <c r="C156" s="83">
        <v>-2.6717176654639405</v>
      </c>
    </row>
    <row r="157" spans="1:3" x14ac:dyDescent="0.35">
      <c r="A157" s="20">
        <v>133</v>
      </c>
      <c r="B157" s="83">
        <v>0.41837277124481287</v>
      </c>
      <c r="C157" s="83">
        <v>-0.11922973089405775</v>
      </c>
    </row>
    <row r="158" spans="1:3" x14ac:dyDescent="0.35">
      <c r="A158" s="20">
        <v>134</v>
      </c>
      <c r="B158" s="83">
        <v>4.4991882860980992E-2</v>
      </c>
      <c r="C158" s="83">
        <v>3.131809615582398</v>
      </c>
    </row>
    <row r="159" spans="1:3" x14ac:dyDescent="0.35">
      <c r="A159" s="20">
        <v>135</v>
      </c>
      <c r="B159" s="83">
        <v>1.2048559191171395</v>
      </c>
      <c r="C159" s="83">
        <v>-3.4148777536560244</v>
      </c>
    </row>
    <row r="160" spans="1:3" x14ac:dyDescent="0.35">
      <c r="A160" s="20">
        <v>136</v>
      </c>
      <c r="B160" s="83">
        <v>0.14826744773310468</v>
      </c>
      <c r="C160" s="83">
        <v>-2.3105259639344862</v>
      </c>
    </row>
    <row r="161" spans="1:3" x14ac:dyDescent="0.35">
      <c r="A161" s="20">
        <v>137</v>
      </c>
      <c r="B161" s="83">
        <v>2.5474382624547482</v>
      </c>
      <c r="C161" s="83">
        <v>-0.62776010210072486</v>
      </c>
    </row>
    <row r="162" spans="1:3" x14ac:dyDescent="0.35">
      <c r="A162" s="20">
        <v>138</v>
      </c>
      <c r="B162" s="83">
        <v>-1.8616339301628415</v>
      </c>
      <c r="C162" s="83">
        <v>-0.65046663553514317</v>
      </c>
    </row>
    <row r="163" spans="1:3" x14ac:dyDescent="0.35">
      <c r="A163" s="20">
        <v>139</v>
      </c>
      <c r="B163" s="83">
        <v>0.68053382053558842</v>
      </c>
      <c r="C163" s="83">
        <v>-2.0299191787378676</v>
      </c>
    </row>
    <row r="164" spans="1:3" x14ac:dyDescent="0.35">
      <c r="A164" s="20">
        <v>140</v>
      </c>
      <c r="B164" s="83">
        <v>-0.38399892506937905</v>
      </c>
      <c r="C164" s="83">
        <v>-4.673460150156588</v>
      </c>
    </row>
    <row r="165" spans="1:3" x14ac:dyDescent="0.35">
      <c r="A165" s="20">
        <v>141</v>
      </c>
      <c r="B165" s="83">
        <v>1.4352398715241848</v>
      </c>
      <c r="C165" s="83">
        <v>1.4299318891963739</v>
      </c>
    </row>
    <row r="166" spans="1:3" x14ac:dyDescent="0.35">
      <c r="A166" s="20">
        <v>142</v>
      </c>
      <c r="B166" s="83">
        <v>-1.1228164276161101</v>
      </c>
      <c r="C166" s="83">
        <v>-5.5491630231948612</v>
      </c>
    </row>
    <row r="167" spans="1:3" x14ac:dyDescent="0.35">
      <c r="A167" s="20">
        <v>143</v>
      </c>
      <c r="B167" s="83">
        <v>1.3478528550939264</v>
      </c>
      <c r="C167" s="83">
        <v>5.9512390847643388</v>
      </c>
    </row>
    <row r="168" spans="1:3" x14ac:dyDescent="0.35">
      <c r="A168" s="20">
        <v>144</v>
      </c>
      <c r="B168" s="83">
        <v>1.5067383395125782</v>
      </c>
      <c r="C168" s="83">
        <v>5.3436485945514756E-2</v>
      </c>
    </row>
    <row r="169" spans="1:3" x14ac:dyDescent="0.35">
      <c r="A169" s="20">
        <v>145</v>
      </c>
      <c r="B169" s="83">
        <v>0.5295926103378692</v>
      </c>
      <c r="C169" s="83">
        <v>1.4706527158127565</v>
      </c>
    </row>
    <row r="170" spans="1:3" x14ac:dyDescent="0.35">
      <c r="A170" s="20">
        <v>146</v>
      </c>
      <c r="B170" s="83">
        <v>2.4282741491407585</v>
      </c>
      <c r="C170" s="83">
        <v>-2.0088192950017429</v>
      </c>
    </row>
    <row r="171" spans="1:3" x14ac:dyDescent="0.35">
      <c r="A171" s="20">
        <v>147</v>
      </c>
      <c r="B171" s="83">
        <v>0.86325212761703818</v>
      </c>
      <c r="C171" s="83">
        <v>-1.8710712232609144</v>
      </c>
    </row>
    <row r="172" spans="1:3" x14ac:dyDescent="0.35">
      <c r="A172" s="20">
        <v>148</v>
      </c>
      <c r="B172" s="83">
        <v>6.8824705523778784E-2</v>
      </c>
      <c r="C172" s="83">
        <v>0.93699439012009211</v>
      </c>
    </row>
    <row r="173" spans="1:3" x14ac:dyDescent="0.35">
      <c r="A173" s="20">
        <v>149</v>
      </c>
      <c r="B173" s="83">
        <v>-1.6471385261976617</v>
      </c>
      <c r="C173" s="83">
        <v>-0.35745776232957627</v>
      </c>
    </row>
    <row r="174" spans="1:3" x14ac:dyDescent="0.35">
      <c r="A174" s="20">
        <v>150</v>
      </c>
      <c r="B174" s="83">
        <v>0.32304148059362175</v>
      </c>
      <c r="C174" s="83">
        <v>2.6624210393973502E-2</v>
      </c>
    </row>
    <row r="175" spans="1:3" x14ac:dyDescent="0.35">
      <c r="A175" s="20">
        <v>151</v>
      </c>
      <c r="B175" s="83">
        <v>0.95063914404729666</v>
      </c>
      <c r="C175" s="83">
        <v>-0.42331504882686821</v>
      </c>
    </row>
    <row r="176" spans="1:3" x14ac:dyDescent="0.35">
      <c r="A176" s="20">
        <v>152</v>
      </c>
      <c r="B176" s="83">
        <v>8.4713253965643942E-2</v>
      </c>
      <c r="C176" s="83">
        <v>-0.43823322863366998</v>
      </c>
    </row>
    <row r="177" spans="1:3" x14ac:dyDescent="0.35">
      <c r="A177" s="20">
        <v>153</v>
      </c>
      <c r="B177" s="83">
        <v>1.490849791070713</v>
      </c>
      <c r="C177" s="83">
        <v>5.177287867310298</v>
      </c>
    </row>
    <row r="178" spans="1:3" x14ac:dyDescent="0.35">
      <c r="A178" s="20">
        <v>154</v>
      </c>
      <c r="B178" s="83">
        <v>2.4521069718035564</v>
      </c>
      <c r="C178" s="83">
        <v>-4.6237386369656246</v>
      </c>
    </row>
    <row r="179" spans="1:3" x14ac:dyDescent="0.35">
      <c r="A179" s="20">
        <v>155</v>
      </c>
      <c r="B179" s="83">
        <v>-0.74149126501134566</v>
      </c>
      <c r="C179" s="83">
        <v>13.064760904678996</v>
      </c>
    </row>
    <row r="180" spans="1:3" x14ac:dyDescent="0.35">
      <c r="A180" s="20">
        <v>156</v>
      </c>
      <c r="B180" s="83">
        <v>0.36276285169828471</v>
      </c>
      <c r="C180" s="83">
        <v>-5.8982380104123742</v>
      </c>
    </row>
    <row r="181" spans="1:3" x14ac:dyDescent="0.35">
      <c r="A181" s="20">
        <v>157</v>
      </c>
      <c r="B181" s="83">
        <v>0.69642236897745358</v>
      </c>
      <c r="C181" s="83">
        <v>8.4404165613395605</v>
      </c>
    </row>
    <row r="182" spans="1:3" x14ac:dyDescent="0.35">
      <c r="A182" s="20">
        <v>158</v>
      </c>
      <c r="B182" s="83">
        <v>0.70436664319838616</v>
      </c>
      <c r="C182" s="83">
        <v>4.8413372213184704</v>
      </c>
    </row>
    <row r="183" spans="1:3" x14ac:dyDescent="0.35">
      <c r="A183" s="20">
        <v>159</v>
      </c>
      <c r="B183" s="83">
        <v>1.7768436630242863</v>
      </c>
      <c r="C183" s="83">
        <v>-4.906315732066493</v>
      </c>
    </row>
    <row r="184" spans="1:3" x14ac:dyDescent="0.35">
      <c r="A184" s="20">
        <v>160</v>
      </c>
      <c r="B184" s="83">
        <v>0.79175365962864475</v>
      </c>
      <c r="C184" s="83">
        <v>3.6357394565867009</v>
      </c>
    </row>
    <row r="185" spans="1:3" x14ac:dyDescent="0.35">
      <c r="A185" s="20">
        <v>161</v>
      </c>
      <c r="B185" s="83">
        <v>0.32304148059362175</v>
      </c>
      <c r="C185" s="83">
        <v>-0.40075603714308755</v>
      </c>
    </row>
    <row r="186" spans="1:3" x14ac:dyDescent="0.35">
      <c r="A186" s="20">
        <v>162</v>
      </c>
      <c r="B186" s="83">
        <v>0.99036051515195955</v>
      </c>
      <c r="C186" s="83">
        <v>-2.2108879207371408</v>
      </c>
    </row>
    <row r="187" spans="1:3" x14ac:dyDescent="0.35">
      <c r="A187" s="20">
        <v>163</v>
      </c>
      <c r="B187" s="83">
        <v>2.4123856006988937</v>
      </c>
      <c r="C187" s="83">
        <v>-2.3376012700738356</v>
      </c>
    </row>
    <row r="188" spans="1:3" x14ac:dyDescent="0.35">
      <c r="A188" s="20">
        <v>164</v>
      </c>
      <c r="B188" s="83">
        <v>0.8553078533961056</v>
      </c>
      <c r="C188" s="83">
        <v>1.6774150776240804</v>
      </c>
    </row>
    <row r="189" spans="1:3" x14ac:dyDescent="0.35">
      <c r="A189" s="20">
        <v>165</v>
      </c>
      <c r="B189" s="83">
        <v>0.55342543300066693</v>
      </c>
      <c r="C189" s="83">
        <v>-2.7083628198203167</v>
      </c>
    </row>
    <row r="190" spans="1:3" x14ac:dyDescent="0.35">
      <c r="A190" s="20">
        <v>166</v>
      </c>
      <c r="B190" s="83">
        <v>-0.19333634376699682</v>
      </c>
      <c r="C190" s="83">
        <v>-3.39448468513931</v>
      </c>
    </row>
    <row r="191" spans="1:3" x14ac:dyDescent="0.35">
      <c r="A191" s="20">
        <v>167</v>
      </c>
      <c r="B191" s="83">
        <v>1.4987940652916456</v>
      </c>
      <c r="C191" s="83">
        <v>5.0236044157839483</v>
      </c>
    </row>
    <row r="192" spans="1:3" x14ac:dyDescent="0.35">
      <c r="A192" s="20">
        <v>168</v>
      </c>
      <c r="B192" s="83">
        <v>2.1343360029662533</v>
      </c>
      <c r="C192" s="83">
        <v>-2.2909490571184912</v>
      </c>
    </row>
    <row r="193" spans="1:3" x14ac:dyDescent="0.35">
      <c r="A193" s="20">
        <v>169</v>
      </c>
      <c r="B193" s="83">
        <v>1.6020696301637694</v>
      </c>
      <c r="C193" s="83">
        <v>-3.4625964368733495</v>
      </c>
    </row>
    <row r="194" spans="1:3" x14ac:dyDescent="0.35">
      <c r="A194" s="20">
        <v>170</v>
      </c>
      <c r="B194" s="83">
        <v>-1.0672065080695823</v>
      </c>
      <c r="C194" s="83">
        <v>-2.0332211131962508</v>
      </c>
    </row>
    <row r="195" spans="1:3" x14ac:dyDescent="0.35">
      <c r="A195" s="20">
        <v>171</v>
      </c>
      <c r="B195" s="83">
        <v>0.90297349872170107</v>
      </c>
      <c r="C195" s="83">
        <v>-3.0393404547035812</v>
      </c>
    </row>
    <row r="196" spans="1:3" x14ac:dyDescent="0.35">
      <c r="A196" s="20">
        <v>172</v>
      </c>
      <c r="B196" s="83">
        <v>-1.2022591698254361</v>
      </c>
      <c r="C196" s="83">
        <v>0.1870257570298679</v>
      </c>
    </row>
    <row r="197" spans="1:3" x14ac:dyDescent="0.35">
      <c r="A197" s="20">
        <v>173</v>
      </c>
      <c r="B197" s="83">
        <v>-0.36016610240658131</v>
      </c>
      <c r="C197" s="83">
        <v>-1.1448703225178036</v>
      </c>
    </row>
    <row r="198" spans="1:3" x14ac:dyDescent="0.35">
      <c r="A198" s="20">
        <v>174</v>
      </c>
      <c r="B198" s="83">
        <v>1.5623482590591062</v>
      </c>
      <c r="C198" s="83">
        <v>2.8538485180073665</v>
      </c>
    </row>
    <row r="199" spans="1:3" x14ac:dyDescent="0.35">
      <c r="A199" s="20">
        <v>175</v>
      </c>
      <c r="B199" s="83">
        <v>0.51370406189600404</v>
      </c>
      <c r="C199" s="83">
        <v>-5.000710862973019</v>
      </c>
    </row>
    <row r="200" spans="1:3" x14ac:dyDescent="0.35">
      <c r="A200" s="20">
        <v>176</v>
      </c>
      <c r="B200" s="83">
        <v>0.99036051515195955</v>
      </c>
      <c r="C200" s="83">
        <v>2.5389964726887913</v>
      </c>
    </row>
    <row r="201" spans="1:3" x14ac:dyDescent="0.35">
      <c r="A201" s="20">
        <v>177</v>
      </c>
      <c r="B201" s="83">
        <v>2.8175435859664564</v>
      </c>
      <c r="C201" s="83">
        <v>7.3607291083933273</v>
      </c>
    </row>
    <row r="202" spans="1:3" x14ac:dyDescent="0.35">
      <c r="A202" s="20">
        <v>178</v>
      </c>
      <c r="B202" s="83">
        <v>1.8801192278964101</v>
      </c>
      <c r="C202" s="83">
        <v>5.7056559236272673</v>
      </c>
    </row>
    <row r="203" spans="1:3" x14ac:dyDescent="0.35">
      <c r="A203" s="20">
        <v>179</v>
      </c>
      <c r="B203" s="83">
        <v>1.3001872097683309</v>
      </c>
      <c r="C203" s="83">
        <v>4.8389281833408022</v>
      </c>
    </row>
    <row r="204" spans="1:3" x14ac:dyDescent="0.35">
      <c r="A204" s="20">
        <v>180</v>
      </c>
      <c r="B204" s="83">
        <v>-1.2340362667091667</v>
      </c>
      <c r="C204" s="83">
        <v>0.58437325157533726</v>
      </c>
    </row>
    <row r="205" spans="1:3" x14ac:dyDescent="0.35">
      <c r="A205" s="20">
        <v>181</v>
      </c>
      <c r="B205" s="83">
        <v>-0.32044473130191831</v>
      </c>
      <c r="C205" s="83">
        <v>0.50563658545587942</v>
      </c>
    </row>
    <row r="206" spans="1:3" x14ac:dyDescent="0.35">
      <c r="A206" s="20">
        <v>182</v>
      </c>
      <c r="B206" s="83">
        <v>0.99830478937289213</v>
      </c>
      <c r="C206" s="83">
        <v>-1.1834966435268608</v>
      </c>
    </row>
    <row r="207" spans="1:3" x14ac:dyDescent="0.35">
      <c r="A207" s="20">
        <v>183</v>
      </c>
      <c r="B207" s="83">
        <v>-0.18539206954606424</v>
      </c>
      <c r="C207" s="83">
        <v>0.74199003769828575</v>
      </c>
    </row>
    <row r="208" spans="1:3" x14ac:dyDescent="0.35">
      <c r="A208" s="20">
        <v>184</v>
      </c>
      <c r="B208" s="83">
        <v>-0.43166457039497463</v>
      </c>
      <c r="C208" s="83">
        <v>3.0708340698361667</v>
      </c>
    </row>
    <row r="209" spans="1:3" x14ac:dyDescent="0.35">
      <c r="A209" s="20">
        <v>185</v>
      </c>
      <c r="B209" s="83">
        <v>2.1184474545243877</v>
      </c>
      <c r="C209" s="83">
        <v>-1.1587527674151676</v>
      </c>
    </row>
    <row r="210" spans="1:3" x14ac:dyDescent="0.35">
      <c r="A210" s="20">
        <v>186</v>
      </c>
      <c r="B210" s="83">
        <v>1.5623482590591062</v>
      </c>
      <c r="C210" s="83">
        <v>-0.41131365079130466</v>
      </c>
    </row>
    <row r="211" spans="1:3" x14ac:dyDescent="0.35">
      <c r="A211" s="20">
        <v>187</v>
      </c>
      <c r="B211" s="83">
        <v>2.0469489865359947</v>
      </c>
      <c r="C211" s="83">
        <v>1.6113908845724998</v>
      </c>
    </row>
    <row r="212" spans="1:3" x14ac:dyDescent="0.35">
      <c r="A212" s="20">
        <v>188</v>
      </c>
      <c r="B212" s="83">
        <v>1.9436734216638707</v>
      </c>
      <c r="C212" s="83">
        <v>-2.4469318472739392</v>
      </c>
    </row>
    <row r="213" spans="1:3" x14ac:dyDescent="0.35">
      <c r="A213" s="20">
        <v>189</v>
      </c>
      <c r="B213" s="83">
        <v>-1.3611446542440881</v>
      </c>
      <c r="C213" s="83">
        <v>-0.32891577019610252</v>
      </c>
    </row>
    <row r="214" spans="1:3" x14ac:dyDescent="0.35">
      <c r="A214" s="20">
        <v>190</v>
      </c>
      <c r="B214" s="83">
        <v>2.30911003582677</v>
      </c>
      <c r="C214" s="83">
        <v>-0.72120346664387291</v>
      </c>
    </row>
    <row r="215" spans="1:3" x14ac:dyDescent="0.35">
      <c r="A215" s="20">
        <v>191</v>
      </c>
      <c r="B215" s="83">
        <v>-0.6858813454648176</v>
      </c>
      <c r="C215" s="83">
        <v>0.38503063925953523</v>
      </c>
    </row>
    <row r="216" spans="1:3" x14ac:dyDescent="0.35">
      <c r="A216" s="20">
        <v>192</v>
      </c>
      <c r="B216" s="83">
        <v>1.0936360800240834</v>
      </c>
      <c r="C216" s="83">
        <v>1.2275274590726339</v>
      </c>
    </row>
    <row r="217" spans="1:3" x14ac:dyDescent="0.35">
      <c r="A217" s="20">
        <v>193</v>
      </c>
      <c r="B217" s="83">
        <v>0.25154301260522838</v>
      </c>
      <c r="C217" s="83">
        <v>0.77416503454200492</v>
      </c>
    </row>
    <row r="218" spans="1:3" x14ac:dyDescent="0.35">
      <c r="A218" s="20">
        <v>194</v>
      </c>
      <c r="B218" s="83">
        <v>0.95063914404729666</v>
      </c>
      <c r="C218" s="83">
        <v>4.673178488170727</v>
      </c>
    </row>
    <row r="219" spans="1:3" x14ac:dyDescent="0.35">
      <c r="A219" s="20">
        <v>195</v>
      </c>
      <c r="B219" s="83">
        <v>2.3806085038151634</v>
      </c>
      <c r="C219" s="83">
        <v>2.3119967851394216</v>
      </c>
    </row>
    <row r="220" spans="1:3" x14ac:dyDescent="0.35">
      <c r="A220" s="20">
        <v>196</v>
      </c>
      <c r="B220" s="83">
        <v>0.57725825566346478</v>
      </c>
      <c r="C220" s="83">
        <v>0.57249598964639825</v>
      </c>
    </row>
    <row r="221" spans="1:3" x14ac:dyDescent="0.35">
      <c r="A221" s="20">
        <v>197</v>
      </c>
      <c r="B221" s="83">
        <v>0.13237889929123953</v>
      </c>
      <c r="C221" s="83">
        <v>5.0934668422571505</v>
      </c>
    </row>
    <row r="222" spans="1:3" x14ac:dyDescent="0.35">
      <c r="A222" s="20">
        <v>198</v>
      </c>
      <c r="B222" s="83">
        <v>0.60109107832626252</v>
      </c>
      <c r="C222" s="83">
        <v>-4.7818054346223455</v>
      </c>
    </row>
    <row r="223" spans="1:3" x14ac:dyDescent="0.35">
      <c r="A223" s="20">
        <v>199</v>
      </c>
      <c r="B223" s="83">
        <v>0.77586511118677959</v>
      </c>
      <c r="C223" s="83">
        <v>0.63242862568085245</v>
      </c>
    </row>
    <row r="224" spans="1:3" x14ac:dyDescent="0.35">
      <c r="A224" s="20">
        <v>200</v>
      </c>
      <c r="B224" s="83">
        <v>0.99830478937289213</v>
      </c>
      <c r="C224" s="83">
        <v>2.1147032312837459</v>
      </c>
    </row>
    <row r="225" spans="1:3" x14ac:dyDescent="0.35">
      <c r="A225" s="20">
        <v>201</v>
      </c>
      <c r="B225" s="83">
        <v>1.4272955973032522</v>
      </c>
      <c r="C225" s="83">
        <v>-6.9875584198194991</v>
      </c>
    </row>
    <row r="226" spans="1:3" x14ac:dyDescent="0.35">
      <c r="A226" s="20">
        <v>202</v>
      </c>
      <c r="B226" s="83">
        <v>1.1969116448962072</v>
      </c>
      <c r="C226" s="83">
        <v>2.1972127189022319</v>
      </c>
    </row>
    <row r="227" spans="1:3" x14ac:dyDescent="0.35">
      <c r="A227" s="20">
        <v>203</v>
      </c>
      <c r="B227" s="83">
        <v>0.76792083696584701</v>
      </c>
      <c r="C227" s="83">
        <v>2.2534477462112639</v>
      </c>
    </row>
    <row r="228" spans="1:3" x14ac:dyDescent="0.35">
      <c r="A228" s="20">
        <v>204</v>
      </c>
      <c r="B228" s="83">
        <v>4.2316243972924577</v>
      </c>
      <c r="C228" s="83">
        <v>-3.6162475394038118</v>
      </c>
    </row>
    <row r="229" spans="1:3" x14ac:dyDescent="0.35">
      <c r="A229" s="20">
        <v>205</v>
      </c>
      <c r="B229" s="83">
        <v>-1.0751507822905146</v>
      </c>
      <c r="C229" s="83">
        <v>0.45677392440185838</v>
      </c>
    </row>
    <row r="230" spans="1:3" x14ac:dyDescent="0.35">
      <c r="A230" s="20">
        <v>206</v>
      </c>
      <c r="B230" s="83">
        <v>1.5305711621753759</v>
      </c>
      <c r="C230" s="83">
        <v>1.4554408287389737</v>
      </c>
    </row>
    <row r="231" spans="1:3" x14ac:dyDescent="0.35">
      <c r="A231" s="20">
        <v>207</v>
      </c>
      <c r="B231" s="83">
        <v>0.30715293215175654</v>
      </c>
      <c r="C231" s="83">
        <v>3.0320700895910568</v>
      </c>
    </row>
    <row r="232" spans="1:3" ht="15" thickBot="1" x14ac:dyDescent="0.4">
      <c r="A232" s="21">
        <v>208</v>
      </c>
      <c r="B232" s="87">
        <v>0.52164833611693662</v>
      </c>
      <c r="C232" s="87">
        <v>-10.707146568794863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32"/>
  <sheetViews>
    <sheetView workbookViewId="0">
      <selection activeCell="C1" sqref="C1"/>
    </sheetView>
  </sheetViews>
  <sheetFormatPr defaultRowHeight="14.5" x14ac:dyDescent="0.35"/>
  <cols>
    <col min="1" max="1" width="16.36328125" bestFit="1" customWidth="1"/>
    <col min="2" max="2" width="16.26953125" bestFit="1" customWidth="1"/>
    <col min="3" max="3" width="13.54296875" bestFit="1" customWidth="1"/>
    <col min="4" max="4" width="16.6328125" bestFit="1" customWidth="1"/>
    <col min="5" max="5" width="7.54296875" bestFit="1" customWidth="1"/>
    <col min="6" max="6" width="12.453125" bestFit="1" customWidth="1"/>
    <col min="7" max="7" width="12.26953125" bestFit="1" customWidth="1"/>
    <col min="8" max="9" width="12" bestFit="1" customWidth="1"/>
    <col min="10" max="10" width="11.453125" bestFit="1" customWidth="1"/>
    <col min="11" max="11" width="6.36328125" bestFit="1" customWidth="1"/>
  </cols>
  <sheetData>
    <row r="1" spans="1:11" x14ac:dyDescent="0.35">
      <c r="A1" s="106" t="s">
        <v>103</v>
      </c>
      <c r="B1" s="106"/>
    </row>
    <row r="2" spans="1:11" ht="15" thickBot="1" x14ac:dyDescent="0.4"/>
    <row r="3" spans="1:11" x14ac:dyDescent="0.35">
      <c r="A3" s="23" t="s">
        <v>27</v>
      </c>
      <c r="B3" s="23"/>
      <c r="D3" s="4" t="s">
        <v>57</v>
      </c>
      <c r="E3" s="89">
        <f>B7</f>
        <v>3.4230845904097715</v>
      </c>
      <c r="F3" s="26"/>
      <c r="G3" s="89" t="s">
        <v>53</v>
      </c>
      <c r="H3" s="89">
        <f>(C14/B14)^0.5</f>
        <v>4.1223198709502382</v>
      </c>
      <c r="I3" s="26"/>
      <c r="J3" s="99" t="s">
        <v>55</v>
      </c>
      <c r="K3" s="89">
        <f>B18</f>
        <v>1.3558838533999298</v>
      </c>
    </row>
    <row r="4" spans="1:11" x14ac:dyDescent="0.35">
      <c r="A4" s="20" t="s">
        <v>28</v>
      </c>
      <c r="B4" s="83">
        <v>0.56018129511428327</v>
      </c>
      <c r="D4" s="4" t="s">
        <v>56</v>
      </c>
      <c r="E4" s="89">
        <f>E3*(52)^0.5</f>
        <v>24.684214021946158</v>
      </c>
      <c r="F4" s="26"/>
      <c r="G4" s="89" t="s">
        <v>54</v>
      </c>
      <c r="H4" s="89">
        <f>H3*(52)^0.5</f>
        <v>29.726471337150357</v>
      </c>
      <c r="I4" s="26"/>
      <c r="J4" s="26"/>
      <c r="K4" s="26"/>
    </row>
    <row r="5" spans="1:11" x14ac:dyDescent="0.35">
      <c r="A5" s="20" t="s">
        <v>29</v>
      </c>
      <c r="B5" s="83">
        <v>0.31380308339591567</v>
      </c>
      <c r="E5" s="26"/>
      <c r="F5" s="26"/>
      <c r="G5" s="26"/>
      <c r="H5" s="26"/>
      <c r="I5" s="26"/>
      <c r="J5" s="26"/>
      <c r="K5" s="26"/>
    </row>
    <row r="6" spans="1:11" x14ac:dyDescent="0.35">
      <c r="A6" s="20" t="s">
        <v>30</v>
      </c>
      <c r="B6" s="83">
        <v>0.310472030402692</v>
      </c>
    </row>
    <row r="7" spans="1:11" x14ac:dyDescent="0.35">
      <c r="A7" s="20" t="s">
        <v>31</v>
      </c>
      <c r="B7" s="84">
        <v>3.4230845904097715</v>
      </c>
    </row>
    <row r="8" spans="1:11" ht="15" thickBot="1" x14ac:dyDescent="0.4">
      <c r="A8" s="21" t="s">
        <v>32</v>
      </c>
      <c r="B8" s="56">
        <v>208</v>
      </c>
    </row>
    <row r="10" spans="1:11" ht="15" thickBot="1" x14ac:dyDescent="0.4">
      <c r="A10" t="s">
        <v>33</v>
      </c>
    </row>
    <row r="11" spans="1:11" x14ac:dyDescent="0.35">
      <c r="A11" s="22"/>
      <c r="B11" s="22" t="s">
        <v>38</v>
      </c>
      <c r="C11" s="22" t="s">
        <v>39</v>
      </c>
      <c r="D11" s="22" t="s">
        <v>40</v>
      </c>
      <c r="E11" s="22" t="s">
        <v>41</v>
      </c>
      <c r="F11" s="22" t="s">
        <v>42</v>
      </c>
    </row>
    <row r="12" spans="1:11" x14ac:dyDescent="0.35">
      <c r="A12" s="20" t="s">
        <v>34</v>
      </c>
      <c r="B12" s="20">
        <v>1</v>
      </c>
      <c r="C12" s="83">
        <v>1103.8522002164846</v>
      </c>
      <c r="D12" s="83">
        <v>1103.8522002164846</v>
      </c>
      <c r="E12" s="83">
        <v>94.205371104656265</v>
      </c>
      <c r="F12" s="83">
        <v>1.3993313272394359E-18</v>
      </c>
    </row>
    <row r="13" spans="1:11" x14ac:dyDescent="0.35">
      <c r="A13" s="20" t="s">
        <v>35</v>
      </c>
      <c r="B13" s="20">
        <v>206</v>
      </c>
      <c r="C13" s="83">
        <v>2413.8066712987716</v>
      </c>
      <c r="D13" s="83">
        <v>11.717508113100832</v>
      </c>
      <c r="E13" s="83"/>
      <c r="F13" s="83"/>
    </row>
    <row r="14" spans="1:11" ht="15" thickBot="1" x14ac:dyDescent="0.4">
      <c r="A14" s="21" t="s">
        <v>36</v>
      </c>
      <c r="B14" s="24">
        <v>207</v>
      </c>
      <c r="C14" s="85">
        <v>3517.6588715152561</v>
      </c>
      <c r="D14" s="87"/>
      <c r="E14" s="87"/>
      <c r="F14" s="87"/>
    </row>
    <row r="15" spans="1:11" ht="15" thickBot="1" x14ac:dyDescent="0.4"/>
    <row r="16" spans="1:11" x14ac:dyDescent="0.35">
      <c r="A16" s="22"/>
      <c r="B16" s="22" t="s">
        <v>43</v>
      </c>
      <c r="C16" s="22" t="s">
        <v>31</v>
      </c>
      <c r="D16" s="22" t="s">
        <v>44</v>
      </c>
      <c r="E16" s="22" t="s">
        <v>45</v>
      </c>
      <c r="F16" s="22" t="s">
        <v>46</v>
      </c>
      <c r="G16" s="22" t="s">
        <v>47</v>
      </c>
      <c r="H16" s="22" t="s">
        <v>48</v>
      </c>
      <c r="I16" s="22" t="s">
        <v>49</v>
      </c>
    </row>
    <row r="17" spans="1:9" x14ac:dyDescent="0.35">
      <c r="A17" s="20" t="s">
        <v>37</v>
      </c>
      <c r="B17" s="83">
        <v>0.16755314278896655</v>
      </c>
      <c r="C17" s="83">
        <v>0.24042423400099669</v>
      </c>
      <c r="D17" s="83">
        <v>0.69690621448864409</v>
      </c>
      <c r="E17" s="83">
        <v>0.48664717400085977</v>
      </c>
      <c r="F17" s="83">
        <v>-0.30645445500961827</v>
      </c>
      <c r="G17" s="83">
        <v>0.64156074058755141</v>
      </c>
      <c r="H17" s="83">
        <v>-0.30645445500961827</v>
      </c>
      <c r="I17" s="83">
        <v>0.64156074058755141</v>
      </c>
    </row>
    <row r="18" spans="1:9" ht="15" thickBot="1" x14ac:dyDescent="0.4">
      <c r="A18" s="21" t="s">
        <v>0</v>
      </c>
      <c r="B18" s="85">
        <v>1.3558838533999298</v>
      </c>
      <c r="C18" s="87">
        <v>0.13969622056647304</v>
      </c>
      <c r="D18" s="87">
        <v>9.7059451422649339</v>
      </c>
      <c r="E18" s="87">
        <v>1.3993313272394359E-18</v>
      </c>
      <c r="F18" s="87">
        <v>1.0804662350080141</v>
      </c>
      <c r="G18" s="87">
        <v>1.6313014717918455</v>
      </c>
      <c r="H18" s="87">
        <v>1.0804662350080141</v>
      </c>
      <c r="I18" s="87">
        <v>1.6313014717918455</v>
      </c>
    </row>
    <row r="19" spans="1:9" x14ac:dyDescent="0.35">
      <c r="B19" s="26"/>
      <c r="C19" s="26"/>
      <c r="D19" s="26"/>
      <c r="E19" s="26"/>
      <c r="F19" s="26"/>
      <c r="G19" s="26"/>
      <c r="H19" s="26"/>
      <c r="I19" s="26"/>
    </row>
    <row r="22" spans="1:9" x14ac:dyDescent="0.35">
      <c r="A22" t="s">
        <v>50</v>
      </c>
    </row>
    <row r="23" spans="1:9" ht="15" thickBot="1" x14ac:dyDescent="0.4"/>
    <row r="24" spans="1:9" x14ac:dyDescent="0.35">
      <c r="A24" s="22" t="s">
        <v>51</v>
      </c>
      <c r="B24" s="22" t="s">
        <v>98</v>
      </c>
      <c r="C24" s="25" t="s">
        <v>52</v>
      </c>
    </row>
    <row r="25" spans="1:9" x14ac:dyDescent="0.35">
      <c r="A25" s="20">
        <v>1</v>
      </c>
      <c r="B25" s="83">
        <v>2.3912026623648512</v>
      </c>
      <c r="C25" s="83">
        <v>-3.1440873734725292</v>
      </c>
    </row>
    <row r="26" spans="1:9" x14ac:dyDescent="0.35">
      <c r="A26" s="20">
        <v>2</v>
      </c>
      <c r="B26" s="83">
        <v>1.9166433136748759</v>
      </c>
      <c r="C26" s="83">
        <v>0.16708392604282585</v>
      </c>
    </row>
    <row r="27" spans="1:9" x14ac:dyDescent="0.35">
      <c r="A27" s="20">
        <v>3</v>
      </c>
      <c r="B27" s="83">
        <v>6.4995307381666381</v>
      </c>
      <c r="C27" s="83">
        <v>7.8870787476558926</v>
      </c>
    </row>
    <row r="28" spans="1:9" x14ac:dyDescent="0.35">
      <c r="A28" s="20">
        <v>4</v>
      </c>
      <c r="B28" s="83">
        <v>-2.3950673401369005</v>
      </c>
      <c r="C28" s="83">
        <v>1.9473509845391348</v>
      </c>
    </row>
    <row r="29" spans="1:9" x14ac:dyDescent="0.35">
      <c r="A29" s="20">
        <v>5</v>
      </c>
      <c r="B29" s="83">
        <v>-0.87647742432897946</v>
      </c>
      <c r="C29" s="83">
        <v>5.7943305405196242</v>
      </c>
    </row>
    <row r="30" spans="1:9" x14ac:dyDescent="0.35">
      <c r="A30" s="20">
        <v>6</v>
      </c>
      <c r="B30" s="83">
        <v>0.73702436121693693</v>
      </c>
      <c r="C30" s="83">
        <v>-0.325640559765913</v>
      </c>
    </row>
    <row r="31" spans="1:9" x14ac:dyDescent="0.35">
      <c r="A31" s="20">
        <v>7</v>
      </c>
      <c r="B31" s="83">
        <v>-1.351036773018955</v>
      </c>
      <c r="C31" s="83">
        <v>-4.1536833741535233</v>
      </c>
    </row>
    <row r="32" spans="1:9" x14ac:dyDescent="0.35">
      <c r="A32" s="20">
        <v>8</v>
      </c>
      <c r="B32" s="83">
        <v>-0.60530065364899333</v>
      </c>
      <c r="C32" s="83">
        <v>0.16026542082736905</v>
      </c>
    </row>
    <row r="33" spans="1:3" x14ac:dyDescent="0.35">
      <c r="A33" s="20">
        <v>9</v>
      </c>
      <c r="B33" s="83">
        <v>0.45228875200295177</v>
      </c>
      <c r="C33" s="83">
        <v>-5.038386097239707</v>
      </c>
    </row>
    <row r="34" spans="1:3" x14ac:dyDescent="0.35">
      <c r="A34" s="20">
        <v>10</v>
      </c>
      <c r="B34" s="83">
        <v>1.875966798072878</v>
      </c>
      <c r="C34" s="83">
        <v>-1.0643370398829117</v>
      </c>
    </row>
    <row r="35" spans="1:3" x14ac:dyDescent="0.35">
      <c r="A35" s="20">
        <v>11</v>
      </c>
      <c r="B35" s="83">
        <v>0.92684810069292722</v>
      </c>
      <c r="C35" s="83">
        <v>2.8900338419980294</v>
      </c>
    </row>
    <row r="36" spans="1:3" x14ac:dyDescent="0.35">
      <c r="A36" s="20">
        <v>12</v>
      </c>
      <c r="B36" s="83">
        <v>-2.9509797200308716</v>
      </c>
      <c r="C36" s="83">
        <v>1.9743612887277053</v>
      </c>
    </row>
    <row r="37" spans="1:3" x14ac:dyDescent="0.35">
      <c r="A37" s="20">
        <v>13</v>
      </c>
      <c r="B37" s="83">
        <v>1.1166718401689173</v>
      </c>
      <c r="C37" s="83">
        <v>-4.2020003292127628</v>
      </c>
    </row>
    <row r="38" spans="1:3" x14ac:dyDescent="0.35">
      <c r="A38" s="20">
        <v>14</v>
      </c>
      <c r="B38" s="83">
        <v>-0.55106529951299632</v>
      </c>
      <c r="C38" s="83">
        <v>-2.5046378329474823</v>
      </c>
    </row>
    <row r="39" spans="1:3" x14ac:dyDescent="0.35">
      <c r="A39" s="20">
        <v>15</v>
      </c>
      <c r="B39" s="83">
        <v>0.37093572079895598</v>
      </c>
      <c r="C39" s="83">
        <v>-1.4666093423000728</v>
      </c>
    </row>
    <row r="40" spans="1:3" x14ac:dyDescent="0.35">
      <c r="A40" s="20">
        <v>16</v>
      </c>
      <c r="B40" s="83">
        <v>0.4116122364009539</v>
      </c>
      <c r="C40" s="83">
        <v>-2.286315503854782</v>
      </c>
    </row>
    <row r="41" spans="1:3" x14ac:dyDescent="0.35">
      <c r="A41" s="20">
        <v>17</v>
      </c>
      <c r="B41" s="83">
        <v>0.92684810069292722</v>
      </c>
      <c r="C41" s="83">
        <v>2.0017866448463479</v>
      </c>
    </row>
    <row r="42" spans="1:3" x14ac:dyDescent="0.35">
      <c r="A42" s="20">
        <v>18</v>
      </c>
      <c r="B42" s="83">
        <v>0.26246501252696164</v>
      </c>
      <c r="C42" s="83">
        <v>3.9842381385451002</v>
      </c>
    </row>
    <row r="43" spans="1:3" x14ac:dyDescent="0.35">
      <c r="A43" s="20">
        <v>19</v>
      </c>
      <c r="B43" s="83">
        <v>0.98108345482892445</v>
      </c>
      <c r="C43" s="83">
        <v>3.454441767159298</v>
      </c>
    </row>
    <row r="44" spans="1:3" x14ac:dyDescent="0.35">
      <c r="A44" s="20">
        <v>20</v>
      </c>
      <c r="B44" s="83">
        <v>2.3369673082288545</v>
      </c>
      <c r="C44" s="83">
        <v>-4.4394090542712163</v>
      </c>
    </row>
    <row r="45" spans="1:3" x14ac:dyDescent="0.35">
      <c r="A45" s="20">
        <v>21</v>
      </c>
      <c r="B45" s="83">
        <v>2.0386728604808697</v>
      </c>
      <c r="C45" s="83">
        <v>2.1663515575729715</v>
      </c>
    </row>
    <row r="46" spans="1:3" x14ac:dyDescent="0.35">
      <c r="A46" s="20">
        <v>22</v>
      </c>
      <c r="B46" s="83">
        <v>4.4250284424647459</v>
      </c>
      <c r="C46" s="83">
        <v>4.8100387092196328E-2</v>
      </c>
    </row>
    <row r="47" spans="1:3" x14ac:dyDescent="0.35">
      <c r="A47" s="20">
        <v>23</v>
      </c>
      <c r="B47" s="83">
        <v>-2.001861022650921</v>
      </c>
      <c r="C47" s="83">
        <v>-0.51570207115047495</v>
      </c>
    </row>
    <row r="48" spans="1:3" x14ac:dyDescent="0.35">
      <c r="A48" s="20">
        <v>24</v>
      </c>
      <c r="B48" s="83">
        <v>-1.4595074812909492</v>
      </c>
      <c r="C48" s="83">
        <v>-2.6819671328503705</v>
      </c>
    </row>
    <row r="49" spans="1:3" x14ac:dyDescent="0.35">
      <c r="A49" s="20">
        <v>25</v>
      </c>
      <c r="B49" s="83">
        <v>-0.1714178205610159</v>
      </c>
      <c r="C49" s="83">
        <v>-4.2808632505116417</v>
      </c>
    </row>
    <row r="50" spans="1:3" x14ac:dyDescent="0.35">
      <c r="A50" s="20">
        <v>26</v>
      </c>
      <c r="B50" s="83">
        <v>0.38449455933295529</v>
      </c>
      <c r="C50" s="83">
        <v>0.69452317813581177</v>
      </c>
    </row>
    <row r="51" spans="1:3" x14ac:dyDescent="0.35">
      <c r="A51" s="20">
        <v>27</v>
      </c>
      <c r="B51" s="83">
        <v>3.4623509065507965</v>
      </c>
      <c r="C51" s="83">
        <v>1.3169360705002204</v>
      </c>
    </row>
    <row r="52" spans="1:3" x14ac:dyDescent="0.35">
      <c r="A52" s="20">
        <v>28</v>
      </c>
      <c r="B52" s="83">
        <v>0.89973042362492861</v>
      </c>
      <c r="C52" s="83">
        <v>0.3868370758303723</v>
      </c>
    </row>
    <row r="53" spans="1:3" x14ac:dyDescent="0.35">
      <c r="A53" s="20">
        <v>29</v>
      </c>
      <c r="B53" s="83">
        <v>-0.53750646097899701</v>
      </c>
      <c r="C53" s="83">
        <v>0.44469457110012617</v>
      </c>
    </row>
    <row r="54" spans="1:3" x14ac:dyDescent="0.35">
      <c r="A54" s="20">
        <v>30</v>
      </c>
      <c r="B54" s="83">
        <v>-0.68665368485298917</v>
      </c>
      <c r="C54" s="83">
        <v>-2.4198104842653141</v>
      </c>
    </row>
    <row r="55" spans="1:3" x14ac:dyDescent="0.35">
      <c r="A55" s="20">
        <v>31</v>
      </c>
      <c r="B55" s="83">
        <v>-1.4459486427569499</v>
      </c>
      <c r="C55" s="83">
        <v>-5.2055278605376163</v>
      </c>
    </row>
    <row r="56" spans="1:3" x14ac:dyDescent="0.35">
      <c r="A56" s="20">
        <v>32</v>
      </c>
      <c r="B56" s="83">
        <v>1.1709071943049145</v>
      </c>
      <c r="C56" s="83">
        <v>1.7466071483842085</v>
      </c>
    </row>
    <row r="57" spans="1:3" x14ac:dyDescent="0.35">
      <c r="A57" s="20">
        <v>33</v>
      </c>
      <c r="B57" s="83">
        <v>2.7979678183848304</v>
      </c>
      <c r="C57" s="83">
        <v>-1.7887288544487343</v>
      </c>
    </row>
    <row r="58" spans="1:3" x14ac:dyDescent="0.35">
      <c r="A58" s="20">
        <v>34</v>
      </c>
      <c r="B58" s="83">
        <v>-1.4188309656889513</v>
      </c>
      <c r="C58" s="83">
        <v>6.3057291994977049</v>
      </c>
    </row>
    <row r="59" spans="1:3" x14ac:dyDescent="0.35">
      <c r="A59" s="20">
        <v>35</v>
      </c>
      <c r="B59" s="83">
        <v>2.9606738807928221</v>
      </c>
      <c r="C59" s="83">
        <v>-2.3182449512180132</v>
      </c>
    </row>
    <row r="60" spans="1:3" x14ac:dyDescent="0.35">
      <c r="A60" s="20">
        <v>36</v>
      </c>
      <c r="B60" s="83">
        <v>-0.91715393993097738</v>
      </c>
      <c r="C60" s="83">
        <v>2.6984522881936526</v>
      </c>
    </row>
    <row r="61" spans="1:3" x14ac:dyDescent="0.35">
      <c r="A61" s="20">
        <v>37</v>
      </c>
      <c r="B61" s="83">
        <v>2.0929082146168669</v>
      </c>
      <c r="C61" s="83">
        <v>-5.1787520454170313</v>
      </c>
    </row>
    <row r="62" spans="1:3" x14ac:dyDescent="0.35">
      <c r="A62" s="20">
        <v>38</v>
      </c>
      <c r="B62" s="83">
        <v>1.5234369961888963</v>
      </c>
      <c r="C62" s="83">
        <v>-2.1743621231396597</v>
      </c>
    </row>
    <row r="63" spans="1:3" x14ac:dyDescent="0.35">
      <c r="A63" s="20">
        <v>39</v>
      </c>
      <c r="B63" s="83">
        <v>4.3436754112607501</v>
      </c>
      <c r="C63" s="83">
        <v>-5.1841193409358768</v>
      </c>
    </row>
    <row r="64" spans="1:3" x14ac:dyDescent="0.35">
      <c r="A64" s="20">
        <v>40</v>
      </c>
      <c r="B64" s="83">
        <v>2.6623794330448378</v>
      </c>
      <c r="C64" s="83">
        <v>-1.9294384347852018</v>
      </c>
    </row>
    <row r="65" spans="1:3" x14ac:dyDescent="0.35">
      <c r="A65" s="20">
        <v>41</v>
      </c>
      <c r="B65" s="83">
        <v>4.3572342497947494</v>
      </c>
      <c r="C65" s="83">
        <v>-4.2061784280522367</v>
      </c>
    </row>
    <row r="66" spans="1:3" x14ac:dyDescent="0.35">
      <c r="A66" s="20">
        <v>42</v>
      </c>
      <c r="B66" s="83">
        <v>-0.94427161699897577</v>
      </c>
      <c r="C66" s="83">
        <v>5.4923172514530254</v>
      </c>
    </row>
    <row r="67" spans="1:3" x14ac:dyDescent="0.35">
      <c r="A67" s="20">
        <v>43</v>
      </c>
      <c r="B67" s="83">
        <v>-4.3882166046347972</v>
      </c>
      <c r="C67" s="83">
        <v>1.9311478219528393</v>
      </c>
    </row>
    <row r="68" spans="1:3" x14ac:dyDescent="0.35">
      <c r="A68" s="20">
        <v>44</v>
      </c>
      <c r="B68" s="83">
        <v>2.4861145321028464</v>
      </c>
      <c r="C68" s="83">
        <v>-10.611929201867492</v>
      </c>
    </row>
    <row r="69" spans="1:3" x14ac:dyDescent="0.35">
      <c r="A69" s="20">
        <v>45</v>
      </c>
      <c r="B69" s="83">
        <v>2.0386728604808697</v>
      </c>
      <c r="C69" s="83">
        <v>3.3885171483541372</v>
      </c>
    </row>
    <row r="70" spans="1:3" x14ac:dyDescent="0.35">
      <c r="A70" s="20">
        <v>46</v>
      </c>
      <c r="B70" s="83">
        <v>-3.2899506833808538</v>
      </c>
      <c r="C70" s="83">
        <v>-2.2973576355223355</v>
      </c>
    </row>
    <row r="71" spans="1:3" x14ac:dyDescent="0.35">
      <c r="A71" s="20">
        <v>47</v>
      </c>
      <c r="B71" s="83">
        <v>-8.2660444253585972</v>
      </c>
      <c r="C71" s="83">
        <v>-1.1684905874914939</v>
      </c>
    </row>
    <row r="72" spans="1:3" x14ac:dyDescent="0.35">
      <c r="A72" s="20">
        <v>48</v>
      </c>
      <c r="B72" s="83">
        <v>-1.0527423252709704</v>
      </c>
      <c r="C72" s="83">
        <v>-0.91807395435133765</v>
      </c>
    </row>
    <row r="73" spans="1:3" x14ac:dyDescent="0.35">
      <c r="A73" s="20">
        <v>49</v>
      </c>
      <c r="B73" s="83">
        <v>4.0047044479107683</v>
      </c>
      <c r="C73" s="83">
        <v>6.3338600373573026</v>
      </c>
    </row>
    <row r="74" spans="1:3" x14ac:dyDescent="0.35">
      <c r="A74" s="20">
        <v>50</v>
      </c>
      <c r="B74" s="83">
        <v>-0.30700620590100886</v>
      </c>
      <c r="C74" s="83">
        <v>1.9333310368599967</v>
      </c>
    </row>
    <row r="75" spans="1:3" x14ac:dyDescent="0.35">
      <c r="A75" s="20">
        <v>51</v>
      </c>
      <c r="B75" s="83">
        <v>-5.1610704010727577</v>
      </c>
      <c r="C75" s="83">
        <v>3.3291972045780183</v>
      </c>
    </row>
    <row r="76" spans="1:3" x14ac:dyDescent="0.35">
      <c r="A76" s="20">
        <v>52</v>
      </c>
      <c r="B76" s="83">
        <v>-9.0064789357020114E-2</v>
      </c>
      <c r="C76" s="83">
        <v>-2.0022297408151966</v>
      </c>
    </row>
    <row r="77" spans="1:3" x14ac:dyDescent="0.35">
      <c r="A77" s="20">
        <v>53</v>
      </c>
      <c r="B77" s="83">
        <v>0.68278900708093992</v>
      </c>
      <c r="C77" s="83">
        <v>-1.4088142745588705</v>
      </c>
    </row>
    <row r="78" spans="1:3" x14ac:dyDescent="0.35">
      <c r="A78" s="20">
        <v>54</v>
      </c>
      <c r="B78" s="83">
        <v>4.4250284424647459</v>
      </c>
      <c r="C78" s="83">
        <v>1.0232870583603351</v>
      </c>
    </row>
    <row r="79" spans="1:3" x14ac:dyDescent="0.35">
      <c r="A79" s="20">
        <v>55</v>
      </c>
      <c r="B79" s="83">
        <v>-4.8763347918587732</v>
      </c>
      <c r="C79" s="83">
        <v>-3.3798073346378681</v>
      </c>
    </row>
    <row r="80" spans="1:3" x14ac:dyDescent="0.35">
      <c r="A80" s="20">
        <v>56</v>
      </c>
      <c r="B80" s="83">
        <v>2.0386728604808697</v>
      </c>
      <c r="C80" s="83">
        <v>-7.0271345800413538</v>
      </c>
    </row>
    <row r="81" spans="1:3" x14ac:dyDescent="0.35">
      <c r="A81" s="20">
        <v>57</v>
      </c>
      <c r="B81" s="83">
        <v>0.39805339786695459</v>
      </c>
      <c r="C81" s="83">
        <v>1.7685101879722493</v>
      </c>
    </row>
    <row r="82" spans="1:3" x14ac:dyDescent="0.35">
      <c r="A82" s="20">
        <v>58</v>
      </c>
      <c r="B82" s="83">
        <v>2.4725556935688471</v>
      </c>
      <c r="C82" s="83">
        <v>-0.62344853748031803</v>
      </c>
    </row>
    <row r="83" spans="1:3" x14ac:dyDescent="0.35">
      <c r="A83" s="20">
        <v>59</v>
      </c>
      <c r="B83" s="83">
        <v>1.0082011318969231</v>
      </c>
      <c r="C83" s="83">
        <v>-0.58313884712568753</v>
      </c>
    </row>
    <row r="84" spans="1:3" x14ac:dyDescent="0.35">
      <c r="A84" s="20">
        <v>60</v>
      </c>
      <c r="B84" s="83">
        <v>4.8317935984847242</v>
      </c>
      <c r="C84" s="83">
        <v>-4.0277562466326211</v>
      </c>
    </row>
    <row r="85" spans="1:3" x14ac:dyDescent="0.35">
      <c r="A85" s="20">
        <v>61</v>
      </c>
      <c r="B85" s="83">
        <v>1.1573483557709152</v>
      </c>
      <c r="C85" s="83">
        <v>6.0066827894226122</v>
      </c>
    </row>
    <row r="86" spans="1:3" x14ac:dyDescent="0.35">
      <c r="A86" s="20">
        <v>62</v>
      </c>
      <c r="B86" s="83">
        <v>-2.2323612777289092</v>
      </c>
      <c r="C86" s="83">
        <v>-10.103072942136672</v>
      </c>
    </row>
    <row r="87" spans="1:3" x14ac:dyDescent="0.35">
      <c r="A87" s="20">
        <v>63</v>
      </c>
      <c r="B87" s="83">
        <v>-3.5829435221022915E-2</v>
      </c>
      <c r="C87" s="83">
        <v>-1.0591147763941984</v>
      </c>
    </row>
    <row r="88" spans="1:3" x14ac:dyDescent="0.35">
      <c r="A88" s="20">
        <v>64</v>
      </c>
      <c r="B88" s="83">
        <v>3.0013503963948196</v>
      </c>
      <c r="C88" s="83">
        <v>2.4524388580757206</v>
      </c>
    </row>
    <row r="89" spans="1:3" x14ac:dyDescent="0.35">
      <c r="A89" s="20">
        <v>65</v>
      </c>
      <c r="B89" s="83">
        <v>-4.0085691256828175</v>
      </c>
      <c r="C89" s="83">
        <v>-1.5016694665517916</v>
      </c>
    </row>
    <row r="90" spans="1:3" x14ac:dyDescent="0.35">
      <c r="A90" s="20">
        <v>66</v>
      </c>
      <c r="B90" s="83">
        <v>1.6183488659268914</v>
      </c>
      <c r="C90" s="83">
        <v>2.4867015502527314</v>
      </c>
    </row>
    <row r="91" spans="1:3" x14ac:dyDescent="0.35">
      <c r="A91" s="20">
        <v>67</v>
      </c>
      <c r="B91" s="83">
        <v>-7.5474259830566348</v>
      </c>
      <c r="C91" s="83">
        <v>-0.66633216810757023</v>
      </c>
    </row>
    <row r="92" spans="1:3" x14ac:dyDescent="0.35">
      <c r="A92" s="20">
        <v>68</v>
      </c>
      <c r="B92" s="83">
        <v>1.103113001634918</v>
      </c>
      <c r="C92" s="83">
        <v>-0.60768088321562086</v>
      </c>
    </row>
    <row r="93" spans="1:3" x14ac:dyDescent="0.35">
      <c r="A93" s="20">
        <v>69</v>
      </c>
      <c r="B93" s="83">
        <v>-1.6764488978349381</v>
      </c>
      <c r="C93" s="83">
        <v>-0.36425540335671425</v>
      </c>
    </row>
    <row r="94" spans="1:3" x14ac:dyDescent="0.35">
      <c r="A94" s="20">
        <v>70</v>
      </c>
      <c r="B94" s="83">
        <v>1.7810549283348829</v>
      </c>
      <c r="C94" s="83">
        <v>-4.5240366547934165</v>
      </c>
    </row>
    <row r="95" spans="1:3" x14ac:dyDescent="0.35">
      <c r="A95" s="20">
        <v>71</v>
      </c>
      <c r="B95" s="83">
        <v>-2.99165623563287</v>
      </c>
      <c r="C95" s="83">
        <v>3.2737364485223472</v>
      </c>
    </row>
    <row r="96" spans="1:3" x14ac:dyDescent="0.35">
      <c r="A96" s="20">
        <v>72</v>
      </c>
      <c r="B96" s="83">
        <v>3.2454094900068076</v>
      </c>
      <c r="C96" s="83">
        <v>9.1480804771650153</v>
      </c>
    </row>
    <row r="97" spans="1:3" x14ac:dyDescent="0.35">
      <c r="A97" s="20">
        <v>73</v>
      </c>
      <c r="B97" s="83">
        <v>0.14043546572096796</v>
      </c>
      <c r="C97" s="83">
        <v>-0.71100340056094424</v>
      </c>
    </row>
    <row r="98" spans="1:3" x14ac:dyDescent="0.35">
      <c r="A98" s="20">
        <v>74</v>
      </c>
      <c r="B98" s="83">
        <v>-1.6357723822329402</v>
      </c>
      <c r="C98" s="83">
        <v>2.9835008626059634</v>
      </c>
    </row>
    <row r="99" spans="1:3" x14ac:dyDescent="0.35">
      <c r="A99" s="20">
        <v>75</v>
      </c>
      <c r="B99" s="83">
        <v>-0.30700620590100886</v>
      </c>
      <c r="C99" s="83">
        <v>0.90239539601347318</v>
      </c>
    </row>
    <row r="100" spans="1:3" x14ac:dyDescent="0.35">
      <c r="A100" s="20">
        <v>76</v>
      </c>
      <c r="B100" s="83">
        <v>1.2929367411109081</v>
      </c>
      <c r="C100" s="83">
        <v>3.87142155104514</v>
      </c>
    </row>
    <row r="101" spans="1:3" x14ac:dyDescent="0.35">
      <c r="A101" s="20">
        <v>77</v>
      </c>
      <c r="B101" s="83">
        <v>0.31670036666295887</v>
      </c>
      <c r="C101" s="83">
        <v>0.22374320899092115</v>
      </c>
    </row>
    <row r="102" spans="1:3" x14ac:dyDescent="0.35">
      <c r="A102" s="20">
        <v>78</v>
      </c>
      <c r="B102" s="83">
        <v>-0.22565317469701307</v>
      </c>
      <c r="C102" s="83">
        <v>-3.0789653010194891</v>
      </c>
    </row>
    <row r="103" spans="1:3" x14ac:dyDescent="0.35">
      <c r="A103" s="20">
        <v>79</v>
      </c>
      <c r="B103" s="83">
        <v>-0.90359510139697807</v>
      </c>
      <c r="C103" s="83">
        <v>-0.52790812216322736</v>
      </c>
    </row>
    <row r="104" spans="1:3" x14ac:dyDescent="0.35">
      <c r="A104" s="20">
        <v>80</v>
      </c>
      <c r="B104" s="83">
        <v>0.60143597587694408</v>
      </c>
      <c r="C104" s="83">
        <v>-0.11788697040178697</v>
      </c>
    </row>
    <row r="105" spans="1:3" x14ac:dyDescent="0.35">
      <c r="A105" s="20">
        <v>81</v>
      </c>
      <c r="B105" s="83">
        <v>0.72346552268293762</v>
      </c>
      <c r="C105" s="83">
        <v>1.3051080355461331</v>
      </c>
    </row>
    <row r="106" spans="1:3" x14ac:dyDescent="0.35">
      <c r="A106" s="20">
        <v>82</v>
      </c>
      <c r="B106" s="83">
        <v>0.72346552268293762</v>
      </c>
      <c r="C106" s="83">
        <v>1.6541902589549589</v>
      </c>
    </row>
    <row r="107" spans="1:3" x14ac:dyDescent="0.35">
      <c r="A107" s="20">
        <v>83</v>
      </c>
      <c r="B107" s="83">
        <v>-0.87647742432897946</v>
      </c>
      <c r="C107" s="83">
        <v>-6.2450826957765564</v>
      </c>
    </row>
    <row r="108" spans="1:3" x14ac:dyDescent="0.35">
      <c r="A108" s="20">
        <v>84</v>
      </c>
      <c r="B108" s="83">
        <v>2.5674675633068427</v>
      </c>
      <c r="C108" s="83">
        <v>1.9460366392683852</v>
      </c>
    </row>
    <row r="109" spans="1:3" x14ac:dyDescent="0.35">
      <c r="A109" s="20">
        <v>85</v>
      </c>
      <c r="B109" s="83">
        <v>-1.2154483876789619</v>
      </c>
      <c r="C109" s="83">
        <v>-1.908906899899131</v>
      </c>
    </row>
    <row r="110" spans="1:3" x14ac:dyDescent="0.35">
      <c r="A110" s="20">
        <v>86</v>
      </c>
      <c r="B110" s="83">
        <v>2.4318791779668492</v>
      </c>
      <c r="C110" s="83">
        <v>-4.7078382949230502E-2</v>
      </c>
    </row>
    <row r="111" spans="1:3" x14ac:dyDescent="0.35">
      <c r="A111" s="20">
        <v>87</v>
      </c>
      <c r="B111" s="83">
        <v>0.77770087681893507</v>
      </c>
      <c r="C111" s="83">
        <v>-4.5303765649405623</v>
      </c>
    </row>
    <row r="112" spans="1:3" x14ac:dyDescent="0.35">
      <c r="A112" s="20">
        <v>88</v>
      </c>
      <c r="B112" s="83">
        <v>-2.7611559805548818</v>
      </c>
      <c r="C112" s="83">
        <v>-5.1886549107104543</v>
      </c>
    </row>
    <row r="113" spans="1:3" x14ac:dyDescent="0.35">
      <c r="A113" s="20">
        <v>89</v>
      </c>
      <c r="B113" s="83">
        <v>3.6792923230947845</v>
      </c>
      <c r="C113" s="83">
        <v>5.0742088532186447</v>
      </c>
    </row>
    <row r="114" spans="1:3" x14ac:dyDescent="0.35">
      <c r="A114" s="20">
        <v>90</v>
      </c>
      <c r="B114" s="83">
        <v>-0.65953600778499055</v>
      </c>
      <c r="C114" s="83">
        <v>0.4050431681434819</v>
      </c>
    </row>
    <row r="115" spans="1:3" x14ac:dyDescent="0.35">
      <c r="A115" s="20">
        <v>91</v>
      </c>
      <c r="B115" s="83">
        <v>-1.6764488978349381</v>
      </c>
      <c r="C115" s="83">
        <v>-1.2457827707383156</v>
      </c>
    </row>
    <row r="116" spans="1:3" x14ac:dyDescent="0.35">
      <c r="A116" s="20">
        <v>92</v>
      </c>
      <c r="B116" s="83">
        <v>-9.0064789357020114E-2</v>
      </c>
      <c r="C116" s="83">
        <v>-1.4612408207979253</v>
      </c>
    </row>
    <row r="117" spans="1:3" x14ac:dyDescent="0.35">
      <c r="A117" s="20">
        <v>93</v>
      </c>
      <c r="B117" s="83">
        <v>1.2522602255089104</v>
      </c>
      <c r="C117" s="83">
        <v>5.0596444488449421</v>
      </c>
    </row>
    <row r="118" spans="1:3" x14ac:dyDescent="0.35">
      <c r="A118" s="20">
        <v>94</v>
      </c>
      <c r="B118" s="83">
        <v>3.0149092349288193</v>
      </c>
      <c r="C118" s="83">
        <v>-5.4614388251739934</v>
      </c>
    </row>
    <row r="119" spans="1:3" x14ac:dyDescent="0.35">
      <c r="A119" s="20">
        <v>95</v>
      </c>
      <c r="B119" s="83">
        <v>4.6690875360767325</v>
      </c>
      <c r="C119" s="83">
        <v>-5.013759385940924</v>
      </c>
    </row>
    <row r="120" spans="1:3" x14ac:dyDescent="0.35">
      <c r="A120" s="20">
        <v>96</v>
      </c>
      <c r="B120" s="83">
        <v>-3.2221564907108577</v>
      </c>
      <c r="C120" s="83">
        <v>-0.67053407354698891</v>
      </c>
    </row>
    <row r="121" spans="1:3" x14ac:dyDescent="0.35">
      <c r="A121" s="20">
        <v>97</v>
      </c>
      <c r="B121" s="83">
        <v>2.3912026623648512</v>
      </c>
      <c r="C121" s="83">
        <v>-0.69803968605316968</v>
      </c>
    </row>
    <row r="122" spans="1:3" x14ac:dyDescent="0.35">
      <c r="A122" s="20">
        <v>98</v>
      </c>
      <c r="B122" s="83">
        <v>-1.6222135436989409</v>
      </c>
      <c r="C122" s="83">
        <v>8.5385076626016492</v>
      </c>
    </row>
    <row r="123" spans="1:3" x14ac:dyDescent="0.35">
      <c r="A123" s="20">
        <v>99</v>
      </c>
      <c r="B123" s="83">
        <v>-0.89003626286297877</v>
      </c>
      <c r="C123" s="83">
        <v>1.0220852307731174</v>
      </c>
    </row>
    <row r="124" spans="1:3" x14ac:dyDescent="0.35">
      <c r="A124" s="20">
        <v>100</v>
      </c>
      <c r="B124" s="83">
        <v>-1.7035665749029365</v>
      </c>
      <c r="C124" s="83">
        <v>1.8534312864681219</v>
      </c>
    </row>
    <row r="125" spans="1:3" x14ac:dyDescent="0.35">
      <c r="A125" s="20">
        <v>101</v>
      </c>
      <c r="B125" s="83">
        <v>1.5641135117908942</v>
      </c>
      <c r="C125" s="83">
        <v>-4.8871989925477815</v>
      </c>
    </row>
    <row r="126" spans="1:3" x14ac:dyDescent="0.35">
      <c r="A126" s="20">
        <v>102</v>
      </c>
      <c r="B126" s="83">
        <v>4.872470114086723</v>
      </c>
      <c r="C126" s="83">
        <v>-2.5500952491170885</v>
      </c>
    </row>
    <row r="127" spans="1:3" x14ac:dyDescent="0.35">
      <c r="A127" s="20">
        <v>103</v>
      </c>
      <c r="B127" s="83">
        <v>-4.4966873129067917</v>
      </c>
      <c r="C127" s="83">
        <v>4.8116215316320359</v>
      </c>
    </row>
    <row r="128" spans="1:3" x14ac:dyDescent="0.35">
      <c r="A128" s="20">
        <v>104</v>
      </c>
      <c r="B128" s="83">
        <v>0.56075946027494616</v>
      </c>
      <c r="C128" s="83">
        <v>-0.17449350557674009</v>
      </c>
    </row>
    <row r="129" spans="1:3" x14ac:dyDescent="0.35">
      <c r="A129" s="20">
        <v>105</v>
      </c>
      <c r="B129" s="83">
        <v>0.52008294467294824</v>
      </c>
      <c r="C129" s="83">
        <v>4.4293295600034224</v>
      </c>
    </row>
    <row r="130" spans="1:3" x14ac:dyDescent="0.35">
      <c r="A130" s="20">
        <v>106</v>
      </c>
      <c r="B130" s="83">
        <v>1.5912311888588928</v>
      </c>
      <c r="C130" s="83">
        <v>2.3197445125424103</v>
      </c>
    </row>
    <row r="131" spans="1:3" x14ac:dyDescent="0.35">
      <c r="A131" s="20">
        <v>107</v>
      </c>
      <c r="B131" s="83">
        <v>0.89973042362492861</v>
      </c>
      <c r="C131" s="83">
        <v>-3.1801085721556959</v>
      </c>
    </row>
    <row r="132" spans="1:3" x14ac:dyDescent="0.35">
      <c r="A132" s="20">
        <v>108</v>
      </c>
      <c r="B132" s="83">
        <v>1.103113001634918</v>
      </c>
      <c r="C132" s="83">
        <v>-1.7025331920129045</v>
      </c>
    </row>
    <row r="133" spans="1:3" x14ac:dyDescent="0.35">
      <c r="A133" s="20">
        <v>109</v>
      </c>
      <c r="B133" s="83">
        <v>4.0589398020467655</v>
      </c>
      <c r="C133" s="83">
        <v>-0.3976188437521504</v>
      </c>
    </row>
    <row r="134" spans="1:3" x14ac:dyDescent="0.35">
      <c r="A134" s="20">
        <v>110</v>
      </c>
      <c r="B134" s="83">
        <v>5.6724415875926804</v>
      </c>
      <c r="C134" s="83">
        <v>10.163238362352324</v>
      </c>
    </row>
    <row r="135" spans="1:3" x14ac:dyDescent="0.35">
      <c r="A135" s="20">
        <v>111</v>
      </c>
      <c r="B135" s="83">
        <v>-0.52394762244499771</v>
      </c>
      <c r="C135" s="83">
        <v>-2.6150947534745033</v>
      </c>
    </row>
    <row r="136" spans="1:3" x14ac:dyDescent="0.35">
      <c r="A136" s="20">
        <v>112</v>
      </c>
      <c r="B136" s="83">
        <v>-4.7000698909167813</v>
      </c>
      <c r="C136" s="83">
        <v>0.10057108524878267</v>
      </c>
    </row>
    <row r="137" spans="1:3" x14ac:dyDescent="0.35">
      <c r="A137" s="20">
        <v>113</v>
      </c>
      <c r="B137" s="83">
        <v>-0.90359510139697807</v>
      </c>
      <c r="C137" s="83">
        <v>1.6944464926991962</v>
      </c>
    </row>
    <row r="138" spans="1:3" x14ac:dyDescent="0.35">
      <c r="A138" s="20">
        <v>114</v>
      </c>
      <c r="B138" s="83">
        <v>-1.9747433455829226</v>
      </c>
      <c r="C138" s="83">
        <v>2.6226145615392928</v>
      </c>
    </row>
    <row r="139" spans="1:3" x14ac:dyDescent="0.35">
      <c r="A139" s="20">
        <v>115</v>
      </c>
      <c r="B139" s="83">
        <v>1.3878486108489034</v>
      </c>
      <c r="C139" s="83">
        <v>1.1261760761659452</v>
      </c>
    </row>
    <row r="140" spans="1:3" x14ac:dyDescent="0.35">
      <c r="A140" s="20">
        <v>116</v>
      </c>
      <c r="B140" s="83">
        <v>-0.998506971134973</v>
      </c>
      <c r="C140" s="83">
        <v>-1.4515686619847854</v>
      </c>
    </row>
    <row r="141" spans="1:3" x14ac:dyDescent="0.35">
      <c r="A141" s="20">
        <v>117</v>
      </c>
      <c r="B141" s="83">
        <v>0.4116122364009539</v>
      </c>
      <c r="C141" s="83">
        <v>-1.7145235367519147</v>
      </c>
    </row>
    <row r="142" spans="1:3" x14ac:dyDescent="0.35">
      <c r="A142" s="20">
        <v>118</v>
      </c>
      <c r="B142" s="83">
        <v>1.3742897723149041</v>
      </c>
      <c r="C142" s="83">
        <v>2.2694845260787289</v>
      </c>
    </row>
    <row r="143" spans="1:3" x14ac:dyDescent="0.35">
      <c r="A143" s="20">
        <v>119</v>
      </c>
      <c r="B143" s="83">
        <v>2.5945852403748413</v>
      </c>
      <c r="C143" s="83">
        <v>-0.37631632568073936</v>
      </c>
    </row>
    <row r="144" spans="1:3" x14ac:dyDescent="0.35">
      <c r="A144" s="20">
        <v>120</v>
      </c>
      <c r="B144" s="83">
        <v>1.9437609907428746</v>
      </c>
      <c r="C144" s="83">
        <v>1.5769284837170887</v>
      </c>
    </row>
    <row r="145" spans="1:3" x14ac:dyDescent="0.35">
      <c r="A145" s="20">
        <v>121</v>
      </c>
      <c r="B145" s="83">
        <v>0.85905390802293069</v>
      </c>
      <c r="C145" s="83">
        <v>-1.0207541012208721</v>
      </c>
    </row>
    <row r="146" spans="1:3" x14ac:dyDescent="0.35">
      <c r="A146" s="20">
        <v>122</v>
      </c>
      <c r="B146" s="83">
        <v>-3.3984213916528483</v>
      </c>
      <c r="C146" s="83">
        <v>2.8115697190475735</v>
      </c>
    </row>
    <row r="147" spans="1:3" x14ac:dyDescent="0.35">
      <c r="A147" s="20">
        <v>123</v>
      </c>
      <c r="B147" s="83">
        <v>0.15399430425496724</v>
      </c>
      <c r="C147" s="83">
        <v>2.2848746613807043</v>
      </c>
    </row>
    <row r="148" spans="1:3" x14ac:dyDescent="0.35">
      <c r="A148" s="20">
        <v>124</v>
      </c>
      <c r="B148" s="83">
        <v>0.66923016854694062</v>
      </c>
      <c r="C148" s="83">
        <v>-5.4104383474951199</v>
      </c>
    </row>
    <row r="149" spans="1:3" x14ac:dyDescent="0.35">
      <c r="A149" s="20">
        <v>125</v>
      </c>
      <c r="B149" s="83">
        <v>-1.6628900593009388</v>
      </c>
      <c r="C149" s="83">
        <v>0.54792703421397282</v>
      </c>
    </row>
    <row r="150" spans="1:3" x14ac:dyDescent="0.35">
      <c r="A150" s="20">
        <v>126</v>
      </c>
      <c r="B150" s="83">
        <v>2.0386728604808697</v>
      </c>
      <c r="C150" s="83">
        <v>1.7925193519699407</v>
      </c>
    </row>
    <row r="151" spans="1:3" x14ac:dyDescent="0.35">
      <c r="A151" s="20">
        <v>127</v>
      </c>
      <c r="B151" s="83">
        <v>8.6200111584970762E-2</v>
      </c>
      <c r="C151" s="83">
        <v>1.153179742841786</v>
      </c>
    </row>
    <row r="152" spans="1:3" x14ac:dyDescent="0.35">
      <c r="A152" s="20">
        <v>128</v>
      </c>
      <c r="B152" s="83">
        <v>2.2149377614228607</v>
      </c>
      <c r="C152" s="83">
        <v>4.7079309847001536</v>
      </c>
    </row>
    <row r="153" spans="1:3" x14ac:dyDescent="0.35">
      <c r="A153" s="20">
        <v>129</v>
      </c>
      <c r="B153" s="83">
        <v>-0.53750646097899701</v>
      </c>
      <c r="C153" s="83">
        <v>-0.28515516984553635</v>
      </c>
    </row>
    <row r="154" spans="1:3" x14ac:dyDescent="0.35">
      <c r="A154" s="20">
        <v>130</v>
      </c>
      <c r="B154" s="83">
        <v>2.3369673082288545</v>
      </c>
      <c r="C154" s="83">
        <v>2.9314326475308512</v>
      </c>
    </row>
    <row r="155" spans="1:3" x14ac:dyDescent="0.35">
      <c r="A155" s="20">
        <v>131</v>
      </c>
      <c r="B155" s="83">
        <v>1.7674960898008836</v>
      </c>
      <c r="C155" s="83">
        <v>0.14573945678142142</v>
      </c>
    </row>
    <row r="156" spans="1:3" x14ac:dyDescent="0.35">
      <c r="A156" s="20">
        <v>132</v>
      </c>
      <c r="B156" s="83">
        <v>2.052231699014869</v>
      </c>
      <c r="C156" s="83">
        <v>-0.16278508027797067</v>
      </c>
    </row>
    <row r="157" spans="1:3" x14ac:dyDescent="0.35">
      <c r="A157" s="20">
        <v>133</v>
      </c>
      <c r="B157" s="83">
        <v>0.16755314278896655</v>
      </c>
      <c r="C157" s="83">
        <v>0.27464628299203192</v>
      </c>
    </row>
    <row r="158" spans="1:3" x14ac:dyDescent="0.35">
      <c r="A158" s="20">
        <v>134</v>
      </c>
      <c r="B158" s="83">
        <v>-0.46971226830900042</v>
      </c>
      <c r="C158" s="83">
        <v>-2.6766474397224238E-2</v>
      </c>
    </row>
    <row r="159" spans="1:3" x14ac:dyDescent="0.35">
      <c r="A159" s="20">
        <v>135</v>
      </c>
      <c r="B159" s="83">
        <v>1.509878157654897</v>
      </c>
      <c r="C159" s="83">
        <v>2.1801667982017747</v>
      </c>
    </row>
    <row r="160" spans="1:3" x14ac:dyDescent="0.35">
      <c r="A160" s="20">
        <v>136</v>
      </c>
      <c r="B160" s="83">
        <v>-0.2934473673670096</v>
      </c>
      <c r="C160" s="83">
        <v>0.68136196003268212</v>
      </c>
    </row>
    <row r="161" spans="1:3" x14ac:dyDescent="0.35">
      <c r="A161" s="20">
        <v>137</v>
      </c>
      <c r="B161" s="83">
        <v>3.8013218699007787</v>
      </c>
      <c r="C161" s="83">
        <v>-0.48935636013499417</v>
      </c>
    </row>
    <row r="162" spans="1:3" x14ac:dyDescent="0.35">
      <c r="A162" s="20">
        <v>138</v>
      </c>
      <c r="B162" s="83">
        <v>-3.7238335164688321</v>
      </c>
      <c r="C162" s="83">
        <v>3.3738185729424157</v>
      </c>
    </row>
    <row r="163" spans="1:3" x14ac:dyDescent="0.35">
      <c r="A163" s="20">
        <v>139</v>
      </c>
      <c r="B163" s="83">
        <v>0.61499481441094339</v>
      </c>
      <c r="C163" s="83">
        <v>-1.995715786639602</v>
      </c>
    </row>
    <row r="164" spans="1:3" x14ac:dyDescent="0.35">
      <c r="A164" s="20">
        <v>140</v>
      </c>
      <c r="B164" s="83">
        <v>-1.2018895491449626</v>
      </c>
      <c r="C164" s="83">
        <v>-2.4020241791687313</v>
      </c>
    </row>
    <row r="165" spans="1:3" x14ac:dyDescent="0.35">
      <c r="A165" s="20">
        <v>141</v>
      </c>
      <c r="B165" s="83">
        <v>1.9030844751408766</v>
      </c>
      <c r="C165" s="83">
        <v>-5.3147891478893143</v>
      </c>
    </row>
    <row r="166" spans="1:3" x14ac:dyDescent="0.35">
      <c r="A166" s="20">
        <v>142</v>
      </c>
      <c r="B166" s="83">
        <v>-2.462861532806897</v>
      </c>
      <c r="C166" s="83">
        <v>-2.2126463350134</v>
      </c>
    </row>
    <row r="167" spans="1:3" x14ac:dyDescent="0.35">
      <c r="A167" s="20">
        <v>143</v>
      </c>
      <c r="B167" s="83">
        <v>1.7539372512668843</v>
      </c>
      <c r="C167" s="83">
        <v>-4.3960425317231913</v>
      </c>
    </row>
    <row r="168" spans="1:3" x14ac:dyDescent="0.35">
      <c r="A168" s="20">
        <v>144</v>
      </c>
      <c r="B168" s="83">
        <v>2.0251140219468704</v>
      </c>
      <c r="C168" s="83">
        <v>-2.1628801744553336</v>
      </c>
    </row>
    <row r="169" spans="1:3" x14ac:dyDescent="0.35">
      <c r="A169" s="20">
        <v>145</v>
      </c>
      <c r="B169" s="83">
        <v>0.35737688226495673</v>
      </c>
      <c r="C169" s="83">
        <v>-2.1805202816882283</v>
      </c>
    </row>
    <row r="170" spans="1:3" x14ac:dyDescent="0.35">
      <c r="A170" s="20">
        <v>146</v>
      </c>
      <c r="B170" s="83">
        <v>3.5979392918907886</v>
      </c>
      <c r="C170" s="83">
        <v>0.79688583328521867</v>
      </c>
    </row>
    <row r="171" spans="1:3" x14ac:dyDescent="0.35">
      <c r="A171" s="20">
        <v>147</v>
      </c>
      <c r="B171" s="83">
        <v>0.92684810069292722</v>
      </c>
      <c r="C171" s="83">
        <v>2.278289057851123</v>
      </c>
    </row>
    <row r="172" spans="1:3" x14ac:dyDescent="0.35">
      <c r="A172" s="20">
        <v>148</v>
      </c>
      <c r="B172" s="83">
        <v>-0.42903575270700262</v>
      </c>
      <c r="C172" s="83">
        <v>-5.5069710933948111</v>
      </c>
    </row>
    <row r="173" spans="1:3" x14ac:dyDescent="0.35">
      <c r="A173" s="20">
        <v>149</v>
      </c>
      <c r="B173" s="83">
        <v>-3.3577448760508508</v>
      </c>
      <c r="C173" s="83">
        <v>-0.18959157533610993</v>
      </c>
    </row>
    <row r="174" spans="1:3" x14ac:dyDescent="0.35">
      <c r="A174" s="20">
        <v>150</v>
      </c>
      <c r="B174" s="83">
        <v>4.8470803809749774E-3</v>
      </c>
      <c r="C174" s="83">
        <v>-1.6505355209417032</v>
      </c>
    </row>
    <row r="175" spans="1:3" x14ac:dyDescent="0.35">
      <c r="A175" s="20">
        <v>151</v>
      </c>
      <c r="B175" s="83">
        <v>1.0759953245669196</v>
      </c>
      <c r="C175" s="83">
        <v>-1.0769953245669195</v>
      </c>
    </row>
    <row r="176" spans="1:3" x14ac:dyDescent="0.35">
      <c r="A176" s="20">
        <v>152</v>
      </c>
      <c r="B176" s="83">
        <v>-0.40191807563900389</v>
      </c>
      <c r="C176" s="83">
        <v>0.92049533589880927</v>
      </c>
    </row>
    <row r="177" spans="1:3" x14ac:dyDescent="0.35">
      <c r="A177" s="20">
        <v>153</v>
      </c>
      <c r="B177" s="83">
        <v>1.9979963448788718</v>
      </c>
      <c r="C177" s="83">
        <v>-1.1369500138539936</v>
      </c>
    </row>
    <row r="178" spans="1:3" x14ac:dyDescent="0.35">
      <c r="A178" s="20">
        <v>154</v>
      </c>
      <c r="B178" s="83">
        <v>3.638615807492787</v>
      </c>
      <c r="C178" s="83">
        <v>-2.0871433987298653</v>
      </c>
    </row>
    <row r="179" spans="1:3" x14ac:dyDescent="0.35">
      <c r="A179" s="20">
        <v>155</v>
      </c>
      <c r="B179" s="83">
        <v>-1.812037283174931</v>
      </c>
      <c r="C179" s="83">
        <v>0.88748134812364943</v>
      </c>
    </row>
    <row r="180" spans="1:3" x14ac:dyDescent="0.35">
      <c r="A180" s="20">
        <v>156</v>
      </c>
      <c r="B180" s="83">
        <v>7.2641273050971455E-2</v>
      </c>
      <c r="C180" s="83">
        <v>2.766274173180133</v>
      </c>
    </row>
    <row r="181" spans="1:3" x14ac:dyDescent="0.35">
      <c r="A181" s="20">
        <v>157</v>
      </c>
      <c r="B181" s="83">
        <v>0.642112491478942</v>
      </c>
      <c r="C181" s="83">
        <v>-1.6028233156919276</v>
      </c>
    </row>
    <row r="182" spans="1:3" x14ac:dyDescent="0.35">
      <c r="A182" s="20">
        <v>158</v>
      </c>
      <c r="B182" s="83">
        <v>0.65567133001294131</v>
      </c>
      <c r="C182" s="83">
        <v>7.1197944584397401</v>
      </c>
    </row>
    <row r="183" spans="1:3" x14ac:dyDescent="0.35">
      <c r="A183" s="20">
        <v>159</v>
      </c>
      <c r="B183" s="83">
        <v>2.4861145321028464</v>
      </c>
      <c r="C183" s="83">
        <v>-1.0272332469845924</v>
      </c>
    </row>
    <row r="184" spans="1:3" x14ac:dyDescent="0.35">
      <c r="A184" s="20">
        <v>160</v>
      </c>
      <c r="B184" s="83">
        <v>0.80481855388693346</v>
      </c>
      <c r="C184" s="83">
        <v>-2.3979649209965226</v>
      </c>
    </row>
    <row r="185" spans="1:3" x14ac:dyDescent="0.35">
      <c r="A185" s="20">
        <v>161</v>
      </c>
      <c r="B185" s="83">
        <v>4.8470803809749774E-3</v>
      </c>
      <c r="C185" s="83">
        <v>-2.8915760232814747</v>
      </c>
    </row>
    <row r="186" spans="1:3" x14ac:dyDescent="0.35">
      <c r="A186" s="20">
        <v>162</v>
      </c>
      <c r="B186" s="83">
        <v>1.1437895172369159</v>
      </c>
      <c r="C186" s="83">
        <v>-4.186535194766142</v>
      </c>
    </row>
    <row r="187" spans="1:3" x14ac:dyDescent="0.35">
      <c r="A187" s="20">
        <v>163</v>
      </c>
      <c r="B187" s="83">
        <v>3.57082161482279</v>
      </c>
      <c r="C187" s="83">
        <v>1.1338826682576335</v>
      </c>
    </row>
    <row r="188" spans="1:3" x14ac:dyDescent="0.35">
      <c r="A188" s="20">
        <v>164</v>
      </c>
      <c r="B188" s="83">
        <v>0.91328926215892792</v>
      </c>
      <c r="C188" s="83">
        <v>-3.5558588939114841</v>
      </c>
    </row>
    <row r="189" spans="1:3" x14ac:dyDescent="0.35">
      <c r="A189" s="20">
        <v>165</v>
      </c>
      <c r="B189" s="83">
        <v>0.39805339786695459</v>
      </c>
      <c r="C189" s="83">
        <v>1.3067747843427973</v>
      </c>
    </row>
    <row r="190" spans="1:3" x14ac:dyDescent="0.35">
      <c r="A190" s="20">
        <v>166</v>
      </c>
      <c r="B190" s="83">
        <v>-0.87647742432897946</v>
      </c>
      <c r="C190" s="83">
        <v>3.9969066421628368</v>
      </c>
    </row>
    <row r="191" spans="1:3" x14ac:dyDescent="0.35">
      <c r="A191" s="20">
        <v>167</v>
      </c>
      <c r="B191" s="83">
        <v>2.0115551834128711</v>
      </c>
      <c r="C191" s="83">
        <v>-1.7576604755813956</v>
      </c>
    </row>
    <row r="192" spans="1:3" x14ac:dyDescent="0.35">
      <c r="A192" s="20">
        <v>168</v>
      </c>
      <c r="B192" s="83">
        <v>3.0962622661328152</v>
      </c>
      <c r="C192" s="83">
        <v>-1.4028542730290476</v>
      </c>
    </row>
    <row r="193" spans="1:3" x14ac:dyDescent="0.35">
      <c r="A193" s="20">
        <v>169</v>
      </c>
      <c r="B193" s="83">
        <v>2.1878200843548621</v>
      </c>
      <c r="C193" s="83">
        <v>2.6850770397381236</v>
      </c>
    </row>
    <row r="194" spans="1:3" x14ac:dyDescent="0.35">
      <c r="A194" s="20">
        <v>170</v>
      </c>
      <c r="B194" s="83">
        <v>-2.3679496630689023</v>
      </c>
      <c r="C194" s="83">
        <v>3.5970698987137988</v>
      </c>
    </row>
    <row r="195" spans="1:3" x14ac:dyDescent="0.35">
      <c r="A195" s="20">
        <v>171</v>
      </c>
      <c r="B195" s="83">
        <v>0.99464229336292376</v>
      </c>
      <c r="C195" s="83">
        <v>3.2754685229336724</v>
      </c>
    </row>
    <row r="196" spans="1:3" x14ac:dyDescent="0.35">
      <c r="A196" s="20">
        <v>172</v>
      </c>
      <c r="B196" s="83">
        <v>-2.5984499181468901</v>
      </c>
      <c r="C196" s="83">
        <v>-4.3828234846317411</v>
      </c>
    </row>
    <row r="197" spans="1:3" x14ac:dyDescent="0.35">
      <c r="A197" s="20">
        <v>173</v>
      </c>
      <c r="B197" s="83">
        <v>-1.1612130335429647</v>
      </c>
      <c r="C197" s="83">
        <v>-2.4878669373395166</v>
      </c>
    </row>
    <row r="198" spans="1:3" x14ac:dyDescent="0.35">
      <c r="A198" s="20">
        <v>174</v>
      </c>
      <c r="B198" s="83">
        <v>2.1200258916848655</v>
      </c>
      <c r="C198" s="83">
        <v>0.22139310118935907</v>
      </c>
    </row>
    <row r="199" spans="1:3" x14ac:dyDescent="0.35">
      <c r="A199" s="20">
        <v>175</v>
      </c>
      <c r="B199" s="83">
        <v>0.33025920519695812</v>
      </c>
      <c r="C199" s="83">
        <v>5.424823298996075</v>
      </c>
    </row>
    <row r="200" spans="1:3" x14ac:dyDescent="0.35">
      <c r="A200" s="20">
        <v>176</v>
      </c>
      <c r="B200" s="83">
        <v>1.1437895172369159</v>
      </c>
      <c r="C200" s="83">
        <v>-0.16023416013431269</v>
      </c>
    </row>
    <row r="201" spans="1:3" x14ac:dyDescent="0.35">
      <c r="A201" s="20">
        <v>177</v>
      </c>
      <c r="B201" s="83">
        <v>4.2623223800567542</v>
      </c>
      <c r="C201" s="83">
        <v>5.1439173552991369</v>
      </c>
    </row>
    <row r="202" spans="1:3" x14ac:dyDescent="0.35">
      <c r="A202" s="20">
        <v>178</v>
      </c>
      <c r="B202" s="83">
        <v>2.6623794330448378</v>
      </c>
      <c r="C202" s="83">
        <v>1.9320975468614083</v>
      </c>
    </row>
    <row r="203" spans="1:3" x14ac:dyDescent="0.35">
      <c r="A203" s="20">
        <v>179</v>
      </c>
      <c r="B203" s="83">
        <v>1.6725842200628886</v>
      </c>
      <c r="C203" s="83">
        <v>1.0044101721869703</v>
      </c>
    </row>
    <row r="204" spans="1:3" x14ac:dyDescent="0.35">
      <c r="A204" s="20">
        <v>180</v>
      </c>
      <c r="B204" s="83">
        <v>-2.6526852722828873</v>
      </c>
      <c r="C204" s="83">
        <v>-2.0384213446362112</v>
      </c>
    </row>
    <row r="205" spans="1:3" x14ac:dyDescent="0.35">
      <c r="A205" s="20">
        <v>181</v>
      </c>
      <c r="B205" s="83">
        <v>-1.0934188408729684</v>
      </c>
      <c r="C205" s="83">
        <v>0.21757057402210744</v>
      </c>
    </row>
    <row r="206" spans="1:3" x14ac:dyDescent="0.35">
      <c r="A206" s="20">
        <v>182</v>
      </c>
      <c r="B206" s="83">
        <v>1.1573483557709152</v>
      </c>
      <c r="C206" s="83">
        <v>-3.8125874575861451</v>
      </c>
    </row>
    <row r="207" spans="1:3" x14ac:dyDescent="0.35">
      <c r="A207" s="20">
        <v>183</v>
      </c>
      <c r="B207" s="83">
        <v>-0.86291858579498015</v>
      </c>
      <c r="C207" s="83">
        <v>1.7320301626600725</v>
      </c>
    </row>
    <row r="208" spans="1:3" x14ac:dyDescent="0.35">
      <c r="A208" s="20">
        <v>184</v>
      </c>
      <c r="B208" s="83">
        <v>-1.2832425803489584</v>
      </c>
      <c r="C208" s="83">
        <v>-0.59971898239235166</v>
      </c>
    </row>
    <row r="209" spans="1:3" x14ac:dyDescent="0.35">
      <c r="A209" s="20">
        <v>185</v>
      </c>
      <c r="B209" s="83">
        <v>3.0691445890648166</v>
      </c>
      <c r="C209" s="83">
        <v>-5.0900525775922221</v>
      </c>
    </row>
    <row r="210" spans="1:3" x14ac:dyDescent="0.35">
      <c r="A210" s="20">
        <v>186</v>
      </c>
      <c r="B210" s="83">
        <v>2.1200258916848655</v>
      </c>
      <c r="C210" s="83">
        <v>2.5536468160135435</v>
      </c>
    </row>
    <row r="211" spans="1:3" x14ac:dyDescent="0.35">
      <c r="A211" s="20">
        <v>187</v>
      </c>
      <c r="B211" s="83">
        <v>2.9471150422588224</v>
      </c>
      <c r="C211" s="83">
        <v>-1.872632416647368</v>
      </c>
    </row>
    <row r="212" spans="1:3" x14ac:dyDescent="0.35">
      <c r="A212" s="20">
        <v>188</v>
      </c>
      <c r="B212" s="83">
        <v>2.7708501413168318</v>
      </c>
      <c r="C212" s="83">
        <v>-4.4364984142821644</v>
      </c>
    </row>
    <row r="213" spans="1:3" x14ac:dyDescent="0.35">
      <c r="A213" s="20">
        <v>189</v>
      </c>
      <c r="B213" s="83">
        <v>-2.8696266888268762</v>
      </c>
      <c r="C213" s="83">
        <v>2.346943079855393</v>
      </c>
    </row>
    <row r="214" spans="1:3" x14ac:dyDescent="0.35">
      <c r="A214" s="20">
        <v>190</v>
      </c>
      <c r="B214" s="83">
        <v>3.3945567138807995</v>
      </c>
      <c r="C214" s="83">
        <v>2.0938554184684763</v>
      </c>
    </row>
    <row r="215" spans="1:3" x14ac:dyDescent="0.35">
      <c r="A215" s="20">
        <v>191</v>
      </c>
      <c r="B215" s="83">
        <v>-1.7171254134369358</v>
      </c>
      <c r="C215" s="83">
        <v>2.1637425773107708</v>
      </c>
    </row>
    <row r="216" spans="1:3" x14ac:dyDescent="0.35">
      <c r="A216" s="20">
        <v>192</v>
      </c>
      <c r="B216" s="83">
        <v>1.3200544181789067</v>
      </c>
      <c r="C216" s="83">
        <v>1.1065935968798553</v>
      </c>
    </row>
    <row r="217" spans="1:3" x14ac:dyDescent="0.35">
      <c r="A217" s="20">
        <v>193</v>
      </c>
      <c r="B217" s="83">
        <v>-0.11718246642501867</v>
      </c>
      <c r="C217" s="83">
        <v>0.76354516706640729</v>
      </c>
    </row>
    <row r="218" spans="1:3" x14ac:dyDescent="0.35">
      <c r="A218" s="20">
        <v>194</v>
      </c>
      <c r="B218" s="83">
        <v>1.0759953245669196</v>
      </c>
      <c r="C218" s="83">
        <v>-0.14741945785938138</v>
      </c>
    </row>
    <row r="219" spans="1:3" x14ac:dyDescent="0.35">
      <c r="A219" s="20">
        <v>195</v>
      </c>
      <c r="B219" s="83">
        <v>3.5165862606867937</v>
      </c>
      <c r="C219" s="83">
        <v>1.7744567764646937</v>
      </c>
    </row>
    <row r="220" spans="1:3" x14ac:dyDescent="0.35">
      <c r="A220" s="20">
        <v>196</v>
      </c>
      <c r="B220" s="83">
        <v>0.43872991346895251</v>
      </c>
      <c r="C220" s="83">
        <v>3.3914907330192992</v>
      </c>
    </row>
    <row r="221" spans="1:3" x14ac:dyDescent="0.35">
      <c r="A221" s="20">
        <v>197</v>
      </c>
      <c r="B221" s="83">
        <v>-0.32056504443500816</v>
      </c>
      <c r="C221" s="83">
        <v>3.1937335772153945</v>
      </c>
    </row>
    <row r="222" spans="1:3" x14ac:dyDescent="0.35">
      <c r="A222" s="20">
        <v>198</v>
      </c>
      <c r="B222" s="83">
        <v>0.47940642907095044</v>
      </c>
      <c r="C222" s="83">
        <v>-1.8479511614478787</v>
      </c>
    </row>
    <row r="223" spans="1:3" x14ac:dyDescent="0.35">
      <c r="A223" s="20">
        <v>199</v>
      </c>
      <c r="B223" s="83">
        <v>0.77770087681893507</v>
      </c>
      <c r="C223" s="83">
        <v>-2.0785197427515829</v>
      </c>
    </row>
    <row r="224" spans="1:3" x14ac:dyDescent="0.35">
      <c r="A224" s="20">
        <v>200</v>
      </c>
      <c r="B224" s="83">
        <v>1.1573483557709152</v>
      </c>
      <c r="C224" s="83">
        <v>0.51167054273986579</v>
      </c>
    </row>
    <row r="225" spans="1:3" x14ac:dyDescent="0.35">
      <c r="A225" s="20">
        <v>201</v>
      </c>
      <c r="B225" s="83">
        <v>1.8895256366068773</v>
      </c>
      <c r="C225" s="83">
        <v>-2.1598055949259942</v>
      </c>
    </row>
    <row r="226" spans="1:3" x14ac:dyDescent="0.35">
      <c r="A226" s="20">
        <v>202</v>
      </c>
      <c r="B226" s="83">
        <v>1.4963193191208977</v>
      </c>
      <c r="C226" s="83">
        <v>2.3038567470935547</v>
      </c>
    </row>
    <row r="227" spans="1:3" x14ac:dyDescent="0.35">
      <c r="A227" s="20">
        <v>203</v>
      </c>
      <c r="B227" s="83">
        <v>0.76414203828493577</v>
      </c>
      <c r="C227" s="83">
        <v>15.201078232492694</v>
      </c>
    </row>
    <row r="228" spans="1:3" x14ac:dyDescent="0.35">
      <c r="A228" s="20">
        <v>204</v>
      </c>
      <c r="B228" s="83">
        <v>6.6757956391086291</v>
      </c>
      <c r="C228" s="83">
        <v>-1.2183133460229136</v>
      </c>
    </row>
    <row r="229" spans="1:3" x14ac:dyDescent="0.35">
      <c r="A229" s="20">
        <v>205</v>
      </c>
      <c r="B229" s="83">
        <v>-2.3815085016029012</v>
      </c>
      <c r="C229" s="83">
        <v>-0.12431158896236871</v>
      </c>
    </row>
    <row r="230" spans="1:3" x14ac:dyDescent="0.35">
      <c r="A230" s="20">
        <v>206</v>
      </c>
      <c r="B230" s="83">
        <v>2.0657905375488683</v>
      </c>
      <c r="C230" s="83">
        <v>-1.6412832744143622</v>
      </c>
    </row>
    <row r="231" spans="1:3" x14ac:dyDescent="0.35">
      <c r="A231" s="20">
        <v>207</v>
      </c>
      <c r="B231" s="83">
        <v>-2.2270596687023636E-2</v>
      </c>
      <c r="C231" s="83">
        <v>0.87981754226290998</v>
      </c>
    </row>
    <row r="232" spans="1:3" ht="15" thickBot="1" x14ac:dyDescent="0.4">
      <c r="A232" s="21">
        <v>208</v>
      </c>
      <c r="B232" s="87">
        <v>0.34381804373095742</v>
      </c>
      <c r="C232" s="87">
        <v>-0.23236008974726413</v>
      </c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232"/>
  <sheetViews>
    <sheetView workbookViewId="0">
      <selection activeCell="C1" sqref="C1"/>
    </sheetView>
  </sheetViews>
  <sheetFormatPr defaultRowHeight="14.5" x14ac:dyDescent="0.35"/>
  <cols>
    <col min="1" max="1" width="16.36328125" bestFit="1" customWidth="1"/>
    <col min="2" max="2" width="17.1796875" bestFit="1" customWidth="1"/>
    <col min="3" max="3" width="13.54296875" bestFit="1" customWidth="1"/>
    <col min="4" max="4" width="16.6328125" bestFit="1" customWidth="1"/>
    <col min="5" max="5" width="8.36328125" bestFit="1" customWidth="1"/>
    <col min="6" max="6" width="12.453125" bestFit="1" customWidth="1"/>
    <col min="7" max="7" width="12.26953125" bestFit="1" customWidth="1"/>
    <col min="8" max="9" width="12" bestFit="1" customWidth="1"/>
    <col min="10" max="10" width="11.453125" bestFit="1" customWidth="1"/>
    <col min="11" max="11" width="6.36328125" bestFit="1" customWidth="1"/>
    <col min="13" max="13" width="17.54296875" bestFit="1" customWidth="1"/>
  </cols>
  <sheetData>
    <row r="1" spans="1:11" x14ac:dyDescent="0.35">
      <c r="A1" s="106" t="s">
        <v>105</v>
      </c>
      <c r="B1" s="106"/>
    </row>
    <row r="2" spans="1:11" ht="15" thickBot="1" x14ac:dyDescent="0.4"/>
    <row r="3" spans="1:11" x14ac:dyDescent="0.35">
      <c r="A3" s="23" t="s">
        <v>27</v>
      </c>
      <c r="B3" s="23"/>
      <c r="D3" s="4" t="s">
        <v>57</v>
      </c>
      <c r="E3" s="89">
        <f>B7</f>
        <v>2.2171983854701973</v>
      </c>
      <c r="F3" s="26"/>
      <c r="G3" s="89" t="s">
        <v>53</v>
      </c>
      <c r="H3" s="89">
        <f>(C14/B14)^0.5</f>
        <v>3.2204137656004863</v>
      </c>
      <c r="I3" s="26"/>
      <c r="J3" s="99" t="s">
        <v>55</v>
      </c>
      <c r="K3" s="89">
        <f>B18</f>
        <v>1.3743479415261464</v>
      </c>
    </row>
    <row r="4" spans="1:11" x14ac:dyDescent="0.35">
      <c r="A4" s="20" t="s">
        <v>28</v>
      </c>
      <c r="B4" s="83">
        <v>0.72682996571061043</v>
      </c>
      <c r="D4" s="4" t="s">
        <v>56</v>
      </c>
      <c r="E4" s="89">
        <f>E3*(52)^0.5</f>
        <v>15.988444933377535</v>
      </c>
      <c r="F4" s="26"/>
      <c r="G4" s="89" t="s">
        <v>54</v>
      </c>
      <c r="H4" s="89">
        <f>H3*(52)^0.5</f>
        <v>23.222733920165243</v>
      </c>
      <c r="I4" s="26"/>
      <c r="J4" s="26"/>
      <c r="K4" s="26"/>
    </row>
    <row r="5" spans="1:11" x14ac:dyDescent="0.35">
      <c r="A5" s="20" t="s">
        <v>29</v>
      </c>
      <c r="B5" s="83">
        <v>0.52828179905488715</v>
      </c>
    </row>
    <row r="6" spans="1:11" x14ac:dyDescent="0.35">
      <c r="A6" s="20" t="s">
        <v>30</v>
      </c>
      <c r="B6" s="83">
        <v>0.52599190487554193</v>
      </c>
    </row>
    <row r="7" spans="1:11" x14ac:dyDescent="0.35">
      <c r="A7" s="20" t="s">
        <v>31</v>
      </c>
      <c r="B7" s="84">
        <v>2.2171983854701973</v>
      </c>
    </row>
    <row r="8" spans="1:11" ht="15" thickBot="1" x14ac:dyDescent="0.4">
      <c r="A8" s="21" t="s">
        <v>32</v>
      </c>
      <c r="B8" s="56">
        <v>208</v>
      </c>
    </row>
    <row r="10" spans="1:11" ht="15" thickBot="1" x14ac:dyDescent="0.4">
      <c r="A10" t="s">
        <v>33</v>
      </c>
    </row>
    <row r="11" spans="1:11" x14ac:dyDescent="0.35">
      <c r="A11" s="22"/>
      <c r="B11" s="22" t="s">
        <v>38</v>
      </c>
      <c r="C11" s="22" t="s">
        <v>39</v>
      </c>
      <c r="D11" s="22" t="s">
        <v>40</v>
      </c>
      <c r="E11" s="22" t="s">
        <v>41</v>
      </c>
      <c r="F11" s="22" t="s">
        <v>42</v>
      </c>
    </row>
    <row r="12" spans="1:11" x14ac:dyDescent="0.35">
      <c r="A12" s="20" t="s">
        <v>34</v>
      </c>
      <c r="B12" s="20">
        <v>1</v>
      </c>
      <c r="C12" s="83">
        <v>1134.1208698959849</v>
      </c>
      <c r="D12" s="83">
        <v>1134.1208698959849</v>
      </c>
      <c r="E12" s="83">
        <v>230.70140263247828</v>
      </c>
      <c r="F12" s="83">
        <v>1.8642871878981483E-35</v>
      </c>
    </row>
    <row r="13" spans="1:11" x14ac:dyDescent="0.35">
      <c r="A13" s="20" t="s">
        <v>35</v>
      </c>
      <c r="B13" s="20">
        <v>206</v>
      </c>
      <c r="C13" s="83">
        <v>1012.6895481895198</v>
      </c>
      <c r="D13" s="83">
        <v>4.9159686805316491</v>
      </c>
      <c r="E13" s="83"/>
      <c r="F13" s="83"/>
    </row>
    <row r="14" spans="1:11" ht="15" thickBot="1" x14ac:dyDescent="0.4">
      <c r="A14" s="21" t="s">
        <v>36</v>
      </c>
      <c r="B14" s="24">
        <v>207</v>
      </c>
      <c r="C14" s="85">
        <v>2146.8104180855048</v>
      </c>
      <c r="D14" s="87"/>
      <c r="E14" s="87"/>
      <c r="F14" s="87"/>
    </row>
    <row r="15" spans="1:11" ht="15" thickBot="1" x14ac:dyDescent="0.4"/>
    <row r="16" spans="1:11" x14ac:dyDescent="0.35">
      <c r="A16" s="22"/>
      <c r="B16" s="22" t="s">
        <v>43</v>
      </c>
      <c r="C16" s="22" t="s">
        <v>31</v>
      </c>
      <c r="D16" s="22" t="s">
        <v>44</v>
      </c>
      <c r="E16" s="22" t="s">
        <v>45</v>
      </c>
      <c r="F16" s="22" t="s">
        <v>46</v>
      </c>
      <c r="G16" s="22" t="s">
        <v>47</v>
      </c>
      <c r="H16" s="22" t="s">
        <v>48</v>
      </c>
      <c r="I16" s="22" t="s">
        <v>49</v>
      </c>
    </row>
    <row r="17" spans="1:9" x14ac:dyDescent="0.35">
      <c r="A17" s="20" t="s">
        <v>37</v>
      </c>
      <c r="B17" s="83">
        <v>5.4627736323659803E-2</v>
      </c>
      <c r="C17" s="83">
        <v>0.15572744680291589</v>
      </c>
      <c r="D17" s="83">
        <v>0.35079067592237012</v>
      </c>
      <c r="E17" s="83">
        <v>0.72610385925995879</v>
      </c>
      <c r="F17" s="83">
        <v>-0.25239619276183772</v>
      </c>
      <c r="G17" s="83">
        <v>0.36165166540915733</v>
      </c>
      <c r="H17" s="83">
        <v>-0.25239619276183772</v>
      </c>
      <c r="I17" s="83">
        <v>0.36165166540915733</v>
      </c>
    </row>
    <row r="18" spans="1:9" ht="15" thickBot="1" x14ac:dyDescent="0.4">
      <c r="A18" s="21" t="s">
        <v>0</v>
      </c>
      <c r="B18" s="85">
        <v>1.3743479415261464</v>
      </c>
      <c r="C18" s="87">
        <v>9.0483955776037309E-2</v>
      </c>
      <c r="D18" s="87">
        <v>15.188857844896656</v>
      </c>
      <c r="E18" s="87">
        <v>1.8642871878979884E-35</v>
      </c>
      <c r="F18" s="87">
        <v>1.1959545998776708</v>
      </c>
      <c r="G18" s="87">
        <v>1.5527412831746219</v>
      </c>
      <c r="H18" s="87">
        <v>1.1959545998776708</v>
      </c>
      <c r="I18" s="87">
        <v>1.5527412831746219</v>
      </c>
    </row>
    <row r="22" spans="1:9" x14ac:dyDescent="0.35">
      <c r="A22" t="s">
        <v>50</v>
      </c>
    </row>
    <row r="23" spans="1:9" ht="15" thickBot="1" x14ac:dyDescent="0.4"/>
    <row r="24" spans="1:9" x14ac:dyDescent="0.35">
      <c r="A24" s="22" t="s">
        <v>51</v>
      </c>
      <c r="B24" s="22" t="s">
        <v>99</v>
      </c>
      <c r="C24" s="25" t="s">
        <v>52</v>
      </c>
    </row>
    <row r="25" spans="1:9" x14ac:dyDescent="0.35">
      <c r="A25" s="20">
        <v>1</v>
      </c>
      <c r="B25" s="83">
        <v>2.3085583604265398</v>
      </c>
      <c r="C25" s="83">
        <v>-9.3307635749884099E-4</v>
      </c>
    </row>
    <row r="26" spans="1:9" x14ac:dyDescent="0.35">
      <c r="A26" s="20">
        <v>2</v>
      </c>
      <c r="B26" s="83">
        <v>1.8275365808923887</v>
      </c>
      <c r="C26" s="83">
        <v>0.94357421966075883</v>
      </c>
    </row>
    <row r="27" spans="1:9" x14ac:dyDescent="0.35">
      <c r="A27" s="20">
        <v>3</v>
      </c>
      <c r="B27" s="83">
        <v>6.4728326232507634</v>
      </c>
      <c r="C27" s="83">
        <v>-1.7260022099960546</v>
      </c>
    </row>
    <row r="28" spans="1:9" x14ac:dyDescent="0.35">
      <c r="A28" s="20">
        <v>4</v>
      </c>
      <c r="B28" s="83">
        <v>-2.5428898731607568</v>
      </c>
      <c r="C28" s="83">
        <v>2.4061336256035681</v>
      </c>
    </row>
    <row r="29" spans="1:9" x14ac:dyDescent="0.35">
      <c r="A29" s="20">
        <v>5</v>
      </c>
      <c r="B29" s="83">
        <v>-1.0036201786514729</v>
      </c>
      <c r="C29" s="83">
        <v>2.3351994621601757</v>
      </c>
    </row>
    <row r="30" spans="1:9" x14ac:dyDescent="0.35">
      <c r="A30" s="20">
        <v>6</v>
      </c>
      <c r="B30" s="83">
        <v>0.63185387176464125</v>
      </c>
      <c r="C30" s="83">
        <v>0.20803032897846141</v>
      </c>
    </row>
    <row r="31" spans="1:9" x14ac:dyDescent="0.35">
      <c r="A31" s="20">
        <v>7</v>
      </c>
      <c r="B31" s="83">
        <v>-1.4846419581856243</v>
      </c>
      <c r="C31" s="83">
        <v>-3.5757803200026954</v>
      </c>
    </row>
    <row r="32" spans="1:9" x14ac:dyDescent="0.35">
      <c r="A32" s="20">
        <v>8</v>
      </c>
      <c r="B32" s="83">
        <v>-0.72875059034624357</v>
      </c>
      <c r="C32" s="83">
        <v>0.5959327187371074</v>
      </c>
    </row>
    <row r="33" spans="1:3" x14ac:dyDescent="0.35">
      <c r="A33" s="20">
        <v>9</v>
      </c>
      <c r="B33" s="83">
        <v>0.34324080404415053</v>
      </c>
      <c r="C33" s="83">
        <v>2.0952777117669825</v>
      </c>
    </row>
    <row r="34" spans="1:3" x14ac:dyDescent="0.35">
      <c r="A34" s="20">
        <v>10</v>
      </c>
      <c r="B34" s="83">
        <v>1.7863061426466043</v>
      </c>
      <c r="C34" s="83">
        <v>-1.2456303470859393</v>
      </c>
    </row>
    <row r="35" spans="1:3" x14ac:dyDescent="0.35">
      <c r="A35" s="20">
        <v>11</v>
      </c>
      <c r="B35" s="83">
        <v>0.82426258357830184</v>
      </c>
      <c r="C35" s="83">
        <v>2.1836759527113849</v>
      </c>
    </row>
    <row r="36" spans="1:3" x14ac:dyDescent="0.35">
      <c r="A36" s="20">
        <v>12</v>
      </c>
      <c r="B36" s="83">
        <v>-3.1063725291864768</v>
      </c>
      <c r="C36" s="83">
        <v>-3.7819618812249929</v>
      </c>
    </row>
    <row r="37" spans="1:3" x14ac:dyDescent="0.35">
      <c r="A37" s="20">
        <v>13</v>
      </c>
      <c r="B37" s="83">
        <v>1.0166712953919621</v>
      </c>
      <c r="C37" s="83">
        <v>0.76480378068320909</v>
      </c>
    </row>
    <row r="38" spans="1:3" x14ac:dyDescent="0.35">
      <c r="A38" s="20">
        <v>14</v>
      </c>
      <c r="B38" s="83">
        <v>-0.67377667268519781</v>
      </c>
      <c r="C38" s="83">
        <v>1.1245093941491224</v>
      </c>
    </row>
    <row r="39" spans="1:3" x14ac:dyDescent="0.35">
      <c r="A39" s="20">
        <v>15</v>
      </c>
      <c r="B39" s="83">
        <v>0.26077992755258173</v>
      </c>
      <c r="C39" s="83">
        <v>1.6237367647618111</v>
      </c>
    </row>
    <row r="40" spans="1:3" x14ac:dyDescent="0.35">
      <c r="A40" s="20">
        <v>16</v>
      </c>
      <c r="B40" s="83">
        <v>0.30201036579836615</v>
      </c>
      <c r="C40" s="83">
        <v>6.4436477439312938</v>
      </c>
    </row>
    <row r="41" spans="1:3" x14ac:dyDescent="0.35">
      <c r="A41" s="20">
        <v>17</v>
      </c>
      <c r="B41" s="83">
        <v>0.82426258357830184</v>
      </c>
      <c r="C41" s="83">
        <v>0.81070471595741622</v>
      </c>
    </row>
    <row r="42" spans="1:3" x14ac:dyDescent="0.35">
      <c r="A42" s="20">
        <v>18</v>
      </c>
      <c r="B42" s="83">
        <v>0.15083209223049004</v>
      </c>
      <c r="C42" s="83">
        <v>2.5216873134231426</v>
      </c>
    </row>
    <row r="43" spans="1:3" x14ac:dyDescent="0.35">
      <c r="A43" s="20">
        <v>19</v>
      </c>
      <c r="B43" s="83">
        <v>0.8792365012393476</v>
      </c>
      <c r="C43" s="83">
        <v>-0.1430896933886785</v>
      </c>
    </row>
    <row r="44" spans="1:3" x14ac:dyDescent="0.35">
      <c r="A44" s="20">
        <v>20</v>
      </c>
      <c r="B44" s="83">
        <v>2.2535844427654941</v>
      </c>
      <c r="C44" s="83">
        <v>1.3389266023861368</v>
      </c>
    </row>
    <row r="45" spans="1:3" x14ac:dyDescent="0.35">
      <c r="A45" s="20">
        <v>21</v>
      </c>
      <c r="B45" s="83">
        <v>1.9512278956297417</v>
      </c>
      <c r="C45" s="83">
        <v>0.87904606725439516</v>
      </c>
    </row>
    <row r="46" spans="1:3" x14ac:dyDescent="0.35">
      <c r="A46" s="20">
        <v>22</v>
      </c>
      <c r="B46" s="83">
        <v>4.3700802727157599</v>
      </c>
      <c r="C46" s="83">
        <v>-4.4742034357272784</v>
      </c>
    </row>
    <row r="47" spans="1:3" x14ac:dyDescent="0.35">
      <c r="A47" s="20">
        <v>23</v>
      </c>
      <c r="B47" s="83">
        <v>-2.1443289701181745</v>
      </c>
      <c r="C47" s="83">
        <v>0.68375857633553472</v>
      </c>
    </row>
    <row r="48" spans="1:3" x14ac:dyDescent="0.35">
      <c r="A48" s="20">
        <v>24</v>
      </c>
      <c r="B48" s="83">
        <v>-1.5945897935077158</v>
      </c>
      <c r="C48" s="83">
        <v>-0.42092218679413285</v>
      </c>
    </row>
    <row r="49" spans="1:3" x14ac:dyDescent="0.35">
      <c r="A49" s="20">
        <v>25</v>
      </c>
      <c r="B49" s="83">
        <v>-0.28895924905787679</v>
      </c>
      <c r="C49" s="83">
        <v>1.1296323018573253</v>
      </c>
    </row>
    <row r="50" spans="1:3" x14ac:dyDescent="0.35">
      <c r="A50" s="20">
        <v>26</v>
      </c>
      <c r="B50" s="83">
        <v>0.27452340696784322</v>
      </c>
      <c r="C50" s="83">
        <v>1.3158386836859568</v>
      </c>
    </row>
    <row r="51" spans="1:3" x14ac:dyDescent="0.35">
      <c r="A51" s="20">
        <v>27</v>
      </c>
      <c r="B51" s="83">
        <v>3.3942932342321956</v>
      </c>
      <c r="C51" s="83">
        <v>0.95165389626813823</v>
      </c>
    </row>
    <row r="52" spans="1:3" x14ac:dyDescent="0.35">
      <c r="A52" s="20">
        <v>28</v>
      </c>
      <c r="B52" s="83">
        <v>0.79677562474777885</v>
      </c>
      <c r="C52" s="83">
        <v>3.4072992061391449</v>
      </c>
    </row>
    <row r="53" spans="1:3" x14ac:dyDescent="0.35">
      <c r="A53" s="20">
        <v>29</v>
      </c>
      <c r="B53" s="83">
        <v>-0.66003319326993637</v>
      </c>
      <c r="C53" s="83">
        <v>-1.0042441150873092</v>
      </c>
    </row>
    <row r="54" spans="1:3" x14ac:dyDescent="0.35">
      <c r="A54" s="20">
        <v>30</v>
      </c>
      <c r="B54" s="83">
        <v>-0.81121146683781242</v>
      </c>
      <c r="C54" s="83">
        <v>-0.51768670533388816</v>
      </c>
    </row>
    <row r="55" spans="1:3" x14ac:dyDescent="0.35">
      <c r="A55" s="20">
        <v>31</v>
      </c>
      <c r="B55" s="83">
        <v>-1.5808463140924542</v>
      </c>
      <c r="C55" s="83">
        <v>-0.69998337551573386</v>
      </c>
    </row>
    <row r="56" spans="1:3" x14ac:dyDescent="0.35">
      <c r="A56" s="20">
        <v>32</v>
      </c>
      <c r="B56" s="83">
        <v>1.0716452130530081</v>
      </c>
      <c r="C56" s="83">
        <v>0.85593245897286541</v>
      </c>
    </row>
    <row r="57" spans="1:3" x14ac:dyDescent="0.35">
      <c r="A57" s="20">
        <v>33</v>
      </c>
      <c r="B57" s="83">
        <v>2.7208627428843837</v>
      </c>
      <c r="C57" s="83">
        <v>-2.0850651550094232</v>
      </c>
    </row>
    <row r="58" spans="1:3" x14ac:dyDescent="0.35">
      <c r="A58" s="20">
        <v>34</v>
      </c>
      <c r="B58" s="83">
        <v>-1.5533593552619314</v>
      </c>
      <c r="C58" s="83">
        <v>1.9028562767193422</v>
      </c>
    </row>
    <row r="59" spans="1:3" x14ac:dyDescent="0.35">
      <c r="A59" s="20">
        <v>35</v>
      </c>
      <c r="B59" s="83">
        <v>2.8857844958675214</v>
      </c>
      <c r="C59" s="83">
        <v>-2.5558341555344786</v>
      </c>
    </row>
    <row r="60" spans="1:3" x14ac:dyDescent="0.35">
      <c r="A60" s="20">
        <v>36</v>
      </c>
      <c r="B60" s="83">
        <v>-1.0448506168972573</v>
      </c>
      <c r="C60" s="83">
        <v>-0.99662956611531306</v>
      </c>
    </row>
    <row r="61" spans="1:3" x14ac:dyDescent="0.35">
      <c r="A61" s="20">
        <v>37</v>
      </c>
      <c r="B61" s="83">
        <v>2.0062018132907875</v>
      </c>
      <c r="C61" s="83">
        <v>-0.9878619849863588</v>
      </c>
    </row>
    <row r="62" spans="1:3" x14ac:dyDescent="0.35">
      <c r="A62" s="20">
        <v>38</v>
      </c>
      <c r="B62" s="83">
        <v>1.4289756778498062</v>
      </c>
      <c r="C62" s="83">
        <v>2.2965465024137881</v>
      </c>
    </row>
    <row r="63" spans="1:3" x14ac:dyDescent="0.35">
      <c r="A63" s="20">
        <v>39</v>
      </c>
      <c r="B63" s="83">
        <v>4.2876193962241906</v>
      </c>
      <c r="C63" s="83">
        <v>-3.9440843043301754E-2</v>
      </c>
    </row>
    <row r="64" spans="1:3" x14ac:dyDescent="0.35">
      <c r="A64" s="20">
        <v>40</v>
      </c>
      <c r="B64" s="83">
        <v>2.5834279487317691</v>
      </c>
      <c r="C64" s="83">
        <v>3.1667411863395873</v>
      </c>
    </row>
    <row r="65" spans="1:3" x14ac:dyDescent="0.35">
      <c r="A65" s="20">
        <v>41</v>
      </c>
      <c r="B65" s="83">
        <v>4.3013628756394517</v>
      </c>
      <c r="C65" s="83">
        <v>1.2750664581437077</v>
      </c>
    </row>
    <row r="66" spans="1:3" x14ac:dyDescent="0.35">
      <c r="A66" s="20">
        <v>42</v>
      </c>
      <c r="B66" s="83">
        <v>-1.0723375757277802</v>
      </c>
      <c r="C66" s="83">
        <v>-3.3143469605972227</v>
      </c>
    </row>
    <row r="67" spans="1:3" x14ac:dyDescent="0.35">
      <c r="A67" s="20">
        <v>43</v>
      </c>
      <c r="B67" s="83">
        <v>-4.5631813472041918</v>
      </c>
      <c r="C67" s="83">
        <v>-1.3955473210049449</v>
      </c>
    </row>
    <row r="68" spans="1:3" x14ac:dyDescent="0.35">
      <c r="A68" s="20">
        <v>44</v>
      </c>
      <c r="B68" s="83">
        <v>2.4047627163333702</v>
      </c>
      <c r="C68" s="83">
        <v>1.3913155515595736</v>
      </c>
    </row>
    <row r="69" spans="1:3" x14ac:dyDescent="0.35">
      <c r="A69" s="20">
        <v>45</v>
      </c>
      <c r="B69" s="83">
        <v>1.9512278956297417</v>
      </c>
      <c r="C69" s="83">
        <v>4.3122608872664898</v>
      </c>
    </row>
    <row r="70" spans="1:3" x14ac:dyDescent="0.35">
      <c r="A70" s="20">
        <v>46</v>
      </c>
      <c r="B70" s="83">
        <v>-3.4499595145680133</v>
      </c>
      <c r="C70" s="83">
        <v>0.98592276202364149</v>
      </c>
    </row>
    <row r="71" spans="1:3" x14ac:dyDescent="0.35">
      <c r="A71" s="20">
        <v>47</v>
      </c>
      <c r="B71" s="83">
        <v>-8.4938164599689703</v>
      </c>
      <c r="C71" s="83">
        <v>-2.8977915718262697</v>
      </c>
    </row>
    <row r="72" spans="1:3" x14ac:dyDescent="0.35">
      <c r="A72" s="20">
        <v>48</v>
      </c>
      <c r="B72" s="83">
        <v>-1.1822854110498719</v>
      </c>
      <c r="C72" s="83">
        <v>-0.35591977491558535</v>
      </c>
    </row>
    <row r="73" spans="1:3" x14ac:dyDescent="0.35">
      <c r="A73" s="20">
        <v>49</v>
      </c>
      <c r="B73" s="83">
        <v>3.9440324108426541</v>
      </c>
      <c r="C73" s="83">
        <v>-1.4402152494727556</v>
      </c>
    </row>
    <row r="74" spans="1:3" x14ac:dyDescent="0.35">
      <c r="A74" s="20">
        <v>50</v>
      </c>
      <c r="B74" s="83">
        <v>-0.4263940432104914</v>
      </c>
      <c r="C74" s="83">
        <v>3.6199656670028273</v>
      </c>
    </row>
    <row r="75" spans="1:3" x14ac:dyDescent="0.35">
      <c r="A75" s="20">
        <v>51</v>
      </c>
      <c r="B75" s="83">
        <v>-5.3465596738740953</v>
      </c>
      <c r="C75" s="83">
        <v>-0.59231887533594563</v>
      </c>
    </row>
    <row r="76" spans="1:3" x14ac:dyDescent="0.35">
      <c r="A76" s="20">
        <v>52</v>
      </c>
      <c r="B76" s="83">
        <v>-0.20649837256630799</v>
      </c>
      <c r="C76" s="83">
        <v>-0.4697573266364955</v>
      </c>
    </row>
    <row r="77" spans="1:3" x14ac:dyDescent="0.35">
      <c r="A77" s="20">
        <v>53</v>
      </c>
      <c r="B77" s="83">
        <v>0.57687995410359538</v>
      </c>
      <c r="C77" s="83">
        <v>7.426551230354328E-2</v>
      </c>
    </row>
    <row r="78" spans="1:3" x14ac:dyDescent="0.35">
      <c r="A78" s="20">
        <v>54</v>
      </c>
      <c r="B78" s="83">
        <v>4.3700802727157599</v>
      </c>
      <c r="C78" s="83">
        <v>0.15261347418085069</v>
      </c>
    </row>
    <row r="79" spans="1:3" x14ac:dyDescent="0.35">
      <c r="A79" s="20">
        <v>55</v>
      </c>
      <c r="B79" s="83">
        <v>-5.0579466061536049</v>
      </c>
      <c r="C79" s="83">
        <v>0.3282917669585288</v>
      </c>
    </row>
    <row r="80" spans="1:3" x14ac:dyDescent="0.35">
      <c r="A80" s="20">
        <v>56</v>
      </c>
      <c r="B80" s="83">
        <v>1.9512278956297417</v>
      </c>
      <c r="C80" s="83">
        <v>-2.8675705075239017</v>
      </c>
    </row>
    <row r="81" spans="1:3" x14ac:dyDescent="0.35">
      <c r="A81" s="20">
        <v>57</v>
      </c>
      <c r="B81" s="83">
        <v>0.28826688638310471</v>
      </c>
      <c r="C81" s="83">
        <v>-1.9720861097532274</v>
      </c>
    </row>
    <row r="82" spans="1:3" x14ac:dyDescent="0.35">
      <c r="A82" s="20">
        <v>58</v>
      </c>
      <c r="B82" s="83">
        <v>2.3910192369181087</v>
      </c>
      <c r="C82" s="83">
        <v>2.1282361599112671</v>
      </c>
    </row>
    <row r="83" spans="1:3" x14ac:dyDescent="0.35">
      <c r="A83" s="20">
        <v>59</v>
      </c>
      <c r="B83" s="83">
        <v>0.90672346006987059</v>
      </c>
      <c r="C83" s="83">
        <v>0.53090710316612988</v>
      </c>
    </row>
    <row r="84" spans="1:3" x14ac:dyDescent="0.35">
      <c r="A84" s="20">
        <v>60</v>
      </c>
      <c r="B84" s="83">
        <v>4.7823846551736029</v>
      </c>
      <c r="C84" s="83">
        <v>1.6671425222670777</v>
      </c>
    </row>
    <row r="85" spans="1:3" x14ac:dyDescent="0.35">
      <c r="A85" s="20">
        <v>61</v>
      </c>
      <c r="B85" s="83">
        <v>1.0579017336377465</v>
      </c>
      <c r="C85" s="83">
        <v>3.6621842507793474</v>
      </c>
    </row>
    <row r="86" spans="1:3" x14ac:dyDescent="0.35">
      <c r="A86" s="20">
        <v>62</v>
      </c>
      <c r="B86" s="83">
        <v>-2.3779681201776195</v>
      </c>
      <c r="C86" s="83">
        <v>-0.99607390441857246</v>
      </c>
    </row>
    <row r="87" spans="1:3" x14ac:dyDescent="0.35">
      <c r="A87" s="20">
        <v>63</v>
      </c>
      <c r="B87" s="83">
        <v>-0.15152445490526215</v>
      </c>
      <c r="C87" s="83">
        <v>-2.3633105265960261</v>
      </c>
    </row>
    <row r="88" spans="1:3" x14ac:dyDescent="0.35">
      <c r="A88" s="20">
        <v>64</v>
      </c>
      <c r="B88" s="83">
        <v>2.9270149341133056</v>
      </c>
      <c r="C88" s="83">
        <v>4.6856690031719932</v>
      </c>
    </row>
    <row r="89" spans="1:3" x14ac:dyDescent="0.35">
      <c r="A89" s="20">
        <v>65</v>
      </c>
      <c r="B89" s="83">
        <v>-4.178363923576871</v>
      </c>
      <c r="C89" s="83">
        <v>-1.1410293380255343</v>
      </c>
    </row>
    <row r="90" spans="1:3" x14ac:dyDescent="0.35">
      <c r="A90" s="20">
        <v>66</v>
      </c>
      <c r="B90" s="83">
        <v>1.5251800337566366</v>
      </c>
      <c r="C90" s="83">
        <v>4.184225001031578</v>
      </c>
    </row>
    <row r="91" spans="1:3" x14ac:dyDescent="0.35">
      <c r="A91" s="20">
        <v>67</v>
      </c>
      <c r="B91" s="83">
        <v>-7.7654120509601139</v>
      </c>
      <c r="C91" s="83">
        <v>1.9384401986446491</v>
      </c>
    </row>
    <row r="92" spans="1:3" x14ac:dyDescent="0.35">
      <c r="A92" s="20">
        <v>68</v>
      </c>
      <c r="B92" s="83">
        <v>1.0029278159767008</v>
      </c>
      <c r="C92" s="83">
        <v>-1.6256974372450841</v>
      </c>
    </row>
    <row r="93" spans="1:3" x14ac:dyDescent="0.35">
      <c r="A93" s="20">
        <v>69</v>
      </c>
      <c r="B93" s="83">
        <v>-1.8144854641518995</v>
      </c>
      <c r="C93" s="83">
        <v>3.4801937744249143</v>
      </c>
    </row>
    <row r="94" spans="1:3" x14ac:dyDescent="0.35">
      <c r="A94" s="20">
        <v>70</v>
      </c>
      <c r="B94" s="83">
        <v>1.6901017867397738</v>
      </c>
      <c r="C94" s="83">
        <v>0.60017515537108168</v>
      </c>
    </row>
    <row r="95" spans="1:3" x14ac:dyDescent="0.35">
      <c r="A95" s="20">
        <v>71</v>
      </c>
      <c r="B95" s="83">
        <v>-3.1476029674322614</v>
      </c>
      <c r="C95" s="83">
        <v>-2.5841682524394844</v>
      </c>
    </row>
    <row r="96" spans="1:3" x14ac:dyDescent="0.35">
      <c r="A96" s="20">
        <v>72</v>
      </c>
      <c r="B96" s="83">
        <v>3.1743975635880122</v>
      </c>
      <c r="C96" s="83">
        <v>-4.3180280312483719</v>
      </c>
    </row>
    <row r="97" spans="1:3" x14ac:dyDescent="0.35">
      <c r="A97" s="20">
        <v>73</v>
      </c>
      <c r="B97" s="83">
        <v>2.7140777493136876E-2</v>
      </c>
      <c r="C97" s="83">
        <v>-3.7045103093915563</v>
      </c>
    </row>
    <row r="98" spans="1:3" x14ac:dyDescent="0.35">
      <c r="A98" s="20">
        <v>74</v>
      </c>
      <c r="B98" s="83">
        <v>-1.7732550259061151</v>
      </c>
      <c r="C98" s="83">
        <v>-2.2083167594840436</v>
      </c>
    </row>
    <row r="99" spans="1:3" x14ac:dyDescent="0.35">
      <c r="A99" s="20">
        <v>75</v>
      </c>
      <c r="B99" s="83">
        <v>-0.4263940432104914</v>
      </c>
      <c r="C99" s="83">
        <v>-2.1224163475509248</v>
      </c>
    </row>
    <row r="100" spans="1:3" x14ac:dyDescent="0.35">
      <c r="A100" s="20">
        <v>76</v>
      </c>
      <c r="B100" s="83">
        <v>1.1953365277903611</v>
      </c>
      <c r="C100" s="83">
        <v>3.5669685694568534</v>
      </c>
    </row>
    <row r="101" spans="1:3" x14ac:dyDescent="0.35">
      <c r="A101" s="20">
        <v>77</v>
      </c>
      <c r="B101" s="83">
        <v>0.20580600989153591</v>
      </c>
      <c r="C101" s="83">
        <v>-0.41673196109962918</v>
      </c>
    </row>
    <row r="102" spans="1:3" x14ac:dyDescent="0.35">
      <c r="A102" s="20">
        <v>78</v>
      </c>
      <c r="B102" s="83">
        <v>-0.3439331667189226</v>
      </c>
      <c r="C102" s="83">
        <v>-3.1143240197616668</v>
      </c>
    </row>
    <row r="103" spans="1:3" x14ac:dyDescent="0.35">
      <c r="A103" s="20">
        <v>79</v>
      </c>
      <c r="B103" s="83">
        <v>-1.0311071374819958</v>
      </c>
      <c r="C103" s="83">
        <v>2.5281084670215481</v>
      </c>
    </row>
    <row r="104" spans="1:3" x14ac:dyDescent="0.35">
      <c r="A104" s="20">
        <v>80</v>
      </c>
      <c r="B104" s="83">
        <v>0.49441907761202664</v>
      </c>
      <c r="C104" s="83">
        <v>-1.5220765546170156</v>
      </c>
    </row>
    <row r="105" spans="1:3" x14ac:dyDescent="0.35">
      <c r="A105" s="20">
        <v>81</v>
      </c>
      <c r="B105" s="83">
        <v>0.61811039234937981</v>
      </c>
      <c r="C105" s="83">
        <v>-2.7661735281876987E-2</v>
      </c>
    </row>
    <row r="106" spans="1:3" x14ac:dyDescent="0.35">
      <c r="A106" s="20">
        <v>82</v>
      </c>
      <c r="B106" s="83">
        <v>0.61811039234937981</v>
      </c>
      <c r="C106" s="83">
        <v>0.16090410584376824</v>
      </c>
    </row>
    <row r="107" spans="1:3" x14ac:dyDescent="0.35">
      <c r="A107" s="20">
        <v>83</v>
      </c>
      <c r="B107" s="83">
        <v>-1.0036201786514729</v>
      </c>
      <c r="C107" s="83">
        <v>3.6309571434884593</v>
      </c>
    </row>
    <row r="108" spans="1:3" x14ac:dyDescent="0.35">
      <c r="A108" s="20">
        <v>84</v>
      </c>
      <c r="B108" s="83">
        <v>2.4872235928249391</v>
      </c>
      <c r="C108" s="83">
        <v>-6.3631515327677075</v>
      </c>
    </row>
    <row r="109" spans="1:3" x14ac:dyDescent="0.35">
      <c r="A109" s="20">
        <v>85</v>
      </c>
      <c r="B109" s="83">
        <v>-1.3472071640330094</v>
      </c>
      <c r="C109" s="83">
        <v>-0.26672837799146754</v>
      </c>
    </row>
    <row r="110" spans="1:3" x14ac:dyDescent="0.35">
      <c r="A110" s="20">
        <v>86</v>
      </c>
      <c r="B110" s="83">
        <v>2.349788798672324</v>
      </c>
      <c r="C110" s="83">
        <v>1.3571077770906363</v>
      </c>
    </row>
    <row r="111" spans="1:3" x14ac:dyDescent="0.35">
      <c r="A111" s="20">
        <v>87</v>
      </c>
      <c r="B111" s="83">
        <v>0.67308431001042568</v>
      </c>
      <c r="C111" s="83">
        <v>-2.789365909832739</v>
      </c>
    </row>
    <row r="112" spans="1:3" x14ac:dyDescent="0.35">
      <c r="A112" s="20">
        <v>88</v>
      </c>
      <c r="B112" s="83">
        <v>-2.9139638173728164</v>
      </c>
      <c r="C112" s="83">
        <v>-0.40368306478691895</v>
      </c>
    </row>
    <row r="113" spans="1:3" x14ac:dyDescent="0.35">
      <c r="A113" s="20">
        <v>89</v>
      </c>
      <c r="B113" s="83">
        <v>3.6141889048763787</v>
      </c>
      <c r="C113" s="83">
        <v>-0.92452087377672898</v>
      </c>
    </row>
    <row r="114" spans="1:3" x14ac:dyDescent="0.35">
      <c r="A114" s="20">
        <v>90</v>
      </c>
      <c r="B114" s="83">
        <v>-0.78372450800728943</v>
      </c>
      <c r="C114" s="83">
        <v>-1.6697703273385063</v>
      </c>
    </row>
    <row r="115" spans="1:3" x14ac:dyDescent="0.35">
      <c r="A115" s="20">
        <v>91</v>
      </c>
      <c r="B115" s="83">
        <v>-1.8144854641518995</v>
      </c>
      <c r="C115" s="83">
        <v>0.79506363702096561</v>
      </c>
    </row>
    <row r="116" spans="1:3" x14ac:dyDescent="0.35">
      <c r="A116" s="20">
        <v>92</v>
      </c>
      <c r="B116" s="83">
        <v>-0.20649837256630799</v>
      </c>
      <c r="C116" s="83">
        <v>0.87186511342996054</v>
      </c>
    </row>
    <row r="117" spans="1:3" x14ac:dyDescent="0.35">
      <c r="A117" s="20">
        <v>93</v>
      </c>
      <c r="B117" s="83">
        <v>1.1541060895445769</v>
      </c>
      <c r="C117" s="83">
        <v>-1.4713314388162813E-2</v>
      </c>
    </row>
    <row r="118" spans="1:3" x14ac:dyDescent="0.35">
      <c r="A118" s="20">
        <v>94</v>
      </c>
      <c r="B118" s="83">
        <v>2.9407584135285672</v>
      </c>
      <c r="C118" s="83">
        <v>1.2269300781531025</v>
      </c>
    </row>
    <row r="119" spans="1:3" x14ac:dyDescent="0.35">
      <c r="A119" s="20">
        <v>95</v>
      </c>
      <c r="B119" s="83">
        <v>4.6174629021904652</v>
      </c>
      <c r="C119" s="83">
        <v>2.9389400642429928</v>
      </c>
    </row>
    <row r="120" spans="1:3" x14ac:dyDescent="0.35">
      <c r="A120" s="20">
        <v>96</v>
      </c>
      <c r="B120" s="83">
        <v>-3.381242117491706</v>
      </c>
      <c r="C120" s="83">
        <v>0.2812239872440343</v>
      </c>
    </row>
    <row r="121" spans="1:3" x14ac:dyDescent="0.35">
      <c r="A121" s="20">
        <v>97</v>
      </c>
      <c r="B121" s="83">
        <v>2.3085583604265398</v>
      </c>
      <c r="C121" s="83">
        <v>1.3696197152413925</v>
      </c>
    </row>
    <row r="122" spans="1:3" x14ac:dyDescent="0.35">
      <c r="A122" s="20">
        <v>98</v>
      </c>
      <c r="B122" s="83">
        <v>-1.7595115464908535</v>
      </c>
      <c r="C122" s="83">
        <v>2.4757122694033376</v>
      </c>
    </row>
    <row r="123" spans="1:3" x14ac:dyDescent="0.35">
      <c r="A123" s="20">
        <v>99</v>
      </c>
      <c r="B123" s="83">
        <v>-1.0173636580667345</v>
      </c>
      <c r="C123" s="83">
        <v>0.23428268531019913</v>
      </c>
    </row>
    <row r="124" spans="1:3" x14ac:dyDescent="0.35">
      <c r="A124" s="20">
        <v>100</v>
      </c>
      <c r="B124" s="83">
        <v>-1.8419724229824221</v>
      </c>
      <c r="C124" s="83">
        <v>-1.279745900480167E-2</v>
      </c>
    </row>
    <row r="125" spans="1:3" x14ac:dyDescent="0.35">
      <c r="A125" s="20">
        <v>101</v>
      </c>
      <c r="B125" s="83">
        <v>1.4702061160955906</v>
      </c>
      <c r="C125" s="83">
        <v>-0.52503725776157051</v>
      </c>
    </row>
    <row r="126" spans="1:3" x14ac:dyDescent="0.35">
      <c r="A126" s="20">
        <v>102</v>
      </c>
      <c r="B126" s="83">
        <v>4.823615093419388</v>
      </c>
      <c r="C126" s="83">
        <v>-1.2718843123928765</v>
      </c>
    </row>
    <row r="127" spans="1:3" x14ac:dyDescent="0.35">
      <c r="A127" s="20">
        <v>103</v>
      </c>
      <c r="B127" s="83">
        <v>-4.6731291825262833</v>
      </c>
      <c r="C127" s="83">
        <v>-1.0846549019896479</v>
      </c>
    </row>
    <row r="128" spans="1:3" x14ac:dyDescent="0.35">
      <c r="A128" s="20">
        <v>104</v>
      </c>
      <c r="B128" s="83">
        <v>0.45318863936624221</v>
      </c>
      <c r="C128" s="83">
        <v>2.0403694225460653</v>
      </c>
    </row>
    <row r="129" spans="1:3" x14ac:dyDescent="0.35">
      <c r="A129" s="20">
        <v>105</v>
      </c>
      <c r="B129" s="83">
        <v>0.41195820112045789</v>
      </c>
      <c r="C129" s="83">
        <v>2.669374093192963</v>
      </c>
    </row>
    <row r="130" spans="1:3" x14ac:dyDescent="0.35">
      <c r="A130" s="20">
        <v>106</v>
      </c>
      <c r="B130" s="83">
        <v>1.4976930749261135</v>
      </c>
      <c r="C130" s="83">
        <v>0.2803918546735924</v>
      </c>
    </row>
    <row r="131" spans="1:3" x14ac:dyDescent="0.35">
      <c r="A131" s="20">
        <v>107</v>
      </c>
      <c r="B131" s="83">
        <v>0.79677562474777885</v>
      </c>
      <c r="C131" s="83">
        <v>-0.28809670096643636</v>
      </c>
    </row>
    <row r="132" spans="1:3" x14ac:dyDescent="0.35">
      <c r="A132" s="20">
        <v>108</v>
      </c>
      <c r="B132" s="83">
        <v>1.0029278159767008</v>
      </c>
      <c r="C132" s="83">
        <v>-0.93337296654355695</v>
      </c>
    </row>
    <row r="133" spans="1:3" x14ac:dyDescent="0.35">
      <c r="A133" s="20">
        <v>109</v>
      </c>
      <c r="B133" s="83">
        <v>3.9990063285036999</v>
      </c>
      <c r="C133" s="83">
        <v>0.92177750804094627</v>
      </c>
    </row>
    <row r="134" spans="1:3" x14ac:dyDescent="0.35">
      <c r="A134" s="20">
        <v>110</v>
      </c>
      <c r="B134" s="83">
        <v>5.6344803789198137</v>
      </c>
      <c r="C134" s="83">
        <v>1.0405380787411769</v>
      </c>
    </row>
    <row r="135" spans="1:3" x14ac:dyDescent="0.35">
      <c r="A135" s="20">
        <v>111</v>
      </c>
      <c r="B135" s="83">
        <v>-0.64628971385467482</v>
      </c>
      <c r="C135" s="83">
        <v>-3.3619007300690451</v>
      </c>
    </row>
    <row r="136" spans="1:3" x14ac:dyDescent="0.35">
      <c r="A136" s="20">
        <v>112</v>
      </c>
      <c r="B136" s="83">
        <v>-4.8792813737552052</v>
      </c>
      <c r="C136" s="83">
        <v>-9.4791804596995224</v>
      </c>
    </row>
    <row r="137" spans="1:3" x14ac:dyDescent="0.35">
      <c r="A137" s="20">
        <v>113</v>
      </c>
      <c r="B137" s="83">
        <v>-1.0311071374819958</v>
      </c>
      <c r="C137" s="83">
        <v>-2.1058119095158014</v>
      </c>
    </row>
    <row r="138" spans="1:3" x14ac:dyDescent="0.35">
      <c r="A138" s="20">
        <v>114</v>
      </c>
      <c r="B138" s="83">
        <v>-2.1168420112876514</v>
      </c>
      <c r="C138" s="83">
        <v>0.38816919969531272</v>
      </c>
    </row>
    <row r="139" spans="1:3" x14ac:dyDescent="0.35">
      <c r="A139" s="20">
        <v>115</v>
      </c>
      <c r="B139" s="83">
        <v>1.2915408836971916</v>
      </c>
      <c r="C139" s="83">
        <v>0.29017687997999708</v>
      </c>
    </row>
    <row r="140" spans="1:3" x14ac:dyDescent="0.35">
      <c r="A140" s="20">
        <v>116</v>
      </c>
      <c r="B140" s="83">
        <v>-1.127311493388826</v>
      </c>
      <c r="C140" s="83">
        <v>-1.3178970990446253</v>
      </c>
    </row>
    <row r="141" spans="1:3" x14ac:dyDescent="0.35">
      <c r="A141" s="20">
        <v>117</v>
      </c>
      <c r="B141" s="83">
        <v>0.30201036579836615</v>
      </c>
      <c r="C141" s="83">
        <v>-0.26106351378460879</v>
      </c>
    </row>
    <row r="142" spans="1:3" x14ac:dyDescent="0.35">
      <c r="A142" s="20">
        <v>118</v>
      </c>
      <c r="B142" s="83">
        <v>1.27779740428193</v>
      </c>
      <c r="C142" s="83">
        <v>0.91690470344124209</v>
      </c>
    </row>
    <row r="143" spans="1:3" x14ac:dyDescent="0.35">
      <c r="A143" s="20">
        <v>119</v>
      </c>
      <c r="B143" s="83">
        <v>2.5147105516554618</v>
      </c>
      <c r="C143" s="83">
        <v>-0.91398928934581258</v>
      </c>
    </row>
    <row r="144" spans="1:3" x14ac:dyDescent="0.35">
      <c r="A144" s="20">
        <v>120</v>
      </c>
      <c r="B144" s="83">
        <v>1.8550235397229116</v>
      </c>
      <c r="C144" s="83">
        <v>1.144978116430267</v>
      </c>
    </row>
    <row r="145" spans="1:3" x14ac:dyDescent="0.35">
      <c r="A145" s="20">
        <v>121</v>
      </c>
      <c r="B145" s="83">
        <v>0.75554518650199443</v>
      </c>
      <c r="C145" s="83">
        <v>-0.90769803390932025</v>
      </c>
    </row>
    <row r="146" spans="1:3" x14ac:dyDescent="0.35">
      <c r="A146" s="20">
        <v>122</v>
      </c>
      <c r="B146" s="83">
        <v>-3.5599073498901048</v>
      </c>
      <c r="C146" s="83">
        <v>3.8644542801616528</v>
      </c>
    </row>
    <row r="147" spans="1:3" x14ac:dyDescent="0.35">
      <c r="A147" s="20">
        <v>123</v>
      </c>
      <c r="B147" s="83">
        <v>4.0884256908398336E-2</v>
      </c>
      <c r="C147" s="83">
        <v>-5.6331920121070898</v>
      </c>
    </row>
    <row r="148" spans="1:3" x14ac:dyDescent="0.35">
      <c r="A148" s="20">
        <v>124</v>
      </c>
      <c r="B148" s="83">
        <v>0.56313647468833394</v>
      </c>
      <c r="C148" s="83">
        <v>-1.6694809116380687</v>
      </c>
    </row>
    <row r="149" spans="1:3" x14ac:dyDescent="0.35">
      <c r="A149" s="20">
        <v>125</v>
      </c>
      <c r="B149" s="83">
        <v>-1.8007419847366379</v>
      </c>
      <c r="C149" s="83">
        <v>0.28417998085753604</v>
      </c>
    </row>
    <row r="150" spans="1:3" x14ac:dyDescent="0.35">
      <c r="A150" s="20">
        <v>126</v>
      </c>
      <c r="B150" s="83">
        <v>1.9512278956297417</v>
      </c>
      <c r="C150" s="83">
        <v>0.42476305448466478</v>
      </c>
    </row>
    <row r="151" spans="1:3" x14ac:dyDescent="0.35">
      <c r="A151" s="20">
        <v>127</v>
      </c>
      <c r="B151" s="83">
        <v>-2.7833140167908971E-2</v>
      </c>
      <c r="C151" s="83">
        <v>-1.4014656996233794</v>
      </c>
    </row>
    <row r="152" spans="1:3" x14ac:dyDescent="0.35">
      <c r="A152" s="20">
        <v>128</v>
      </c>
      <c r="B152" s="83">
        <v>2.129893128028141</v>
      </c>
      <c r="C152" s="83">
        <v>-1.6841955554794183</v>
      </c>
    </row>
    <row r="153" spans="1:3" x14ac:dyDescent="0.35">
      <c r="A153" s="20">
        <v>129</v>
      </c>
      <c r="B153" s="83">
        <v>-0.66003319326993637</v>
      </c>
      <c r="C153" s="83">
        <v>1.6611876655904285</v>
      </c>
    </row>
    <row r="154" spans="1:3" x14ac:dyDescent="0.35">
      <c r="A154" s="20">
        <v>130</v>
      </c>
      <c r="B154" s="83">
        <v>2.2535844427654941</v>
      </c>
      <c r="C154" s="83">
        <v>-7.2677897989295914E-2</v>
      </c>
    </row>
    <row r="155" spans="1:3" x14ac:dyDescent="0.35">
      <c r="A155" s="20">
        <v>131</v>
      </c>
      <c r="B155" s="83">
        <v>1.6763583073245125</v>
      </c>
      <c r="C155" s="83">
        <v>0.31819152434030262</v>
      </c>
    </row>
    <row r="156" spans="1:3" x14ac:dyDescent="0.35">
      <c r="A156" s="20">
        <v>132</v>
      </c>
      <c r="B156" s="83">
        <v>1.9649713750450031</v>
      </c>
      <c r="C156" s="83">
        <v>-0.63599670833655453</v>
      </c>
    </row>
    <row r="157" spans="1:3" x14ac:dyDescent="0.35">
      <c r="A157" s="20">
        <v>133</v>
      </c>
      <c r="B157" s="83">
        <v>5.4627736323659803E-2</v>
      </c>
      <c r="C157" s="83">
        <v>-1.0837975843067931</v>
      </c>
    </row>
    <row r="158" spans="1:3" x14ac:dyDescent="0.35">
      <c r="A158" s="20">
        <v>134</v>
      </c>
      <c r="B158" s="83">
        <v>-0.59131579619362895</v>
      </c>
      <c r="C158" s="83">
        <v>0.82624227191258459</v>
      </c>
    </row>
    <row r="159" spans="1:3" x14ac:dyDescent="0.35">
      <c r="A159" s="20">
        <v>135</v>
      </c>
      <c r="B159" s="83">
        <v>1.4152321984345446</v>
      </c>
      <c r="C159" s="83">
        <v>-2.2456461048934995</v>
      </c>
    </row>
    <row r="160" spans="1:3" x14ac:dyDescent="0.35">
      <c r="A160" s="20">
        <v>136</v>
      </c>
      <c r="B160" s="83">
        <v>-0.41265056379523002</v>
      </c>
      <c r="C160" s="83">
        <v>5.2817701953677021E-2</v>
      </c>
    </row>
    <row r="161" spans="1:3" x14ac:dyDescent="0.35">
      <c r="A161" s="20">
        <v>137</v>
      </c>
      <c r="B161" s="83">
        <v>3.7378802196137322</v>
      </c>
      <c r="C161" s="83">
        <v>-1.8826068353758383</v>
      </c>
    </row>
    <row r="162" spans="1:3" x14ac:dyDescent="0.35">
      <c r="A162" s="20">
        <v>138</v>
      </c>
      <c r="B162" s="83">
        <v>-3.8897508558563803</v>
      </c>
      <c r="C162" s="83">
        <v>2.3519084378986701</v>
      </c>
    </row>
    <row r="163" spans="1:3" x14ac:dyDescent="0.35">
      <c r="A163" s="20">
        <v>139</v>
      </c>
      <c r="B163" s="83">
        <v>0.50816255702728808</v>
      </c>
      <c r="C163" s="83">
        <v>4.4453260094363678E-2</v>
      </c>
    </row>
    <row r="164" spans="1:3" x14ac:dyDescent="0.35">
      <c r="A164" s="20">
        <v>140</v>
      </c>
      <c r="B164" s="83">
        <v>-1.3334636846177481</v>
      </c>
      <c r="C164" s="83">
        <v>0.20920248374874939</v>
      </c>
    </row>
    <row r="165" spans="1:3" x14ac:dyDescent="0.35">
      <c r="A165" s="20">
        <v>141</v>
      </c>
      <c r="B165" s="83">
        <v>1.8137931014771271</v>
      </c>
      <c r="C165" s="83">
        <v>1.1366637391616323</v>
      </c>
    </row>
    <row r="166" spans="1:3" x14ac:dyDescent="0.35">
      <c r="A166" s="20">
        <v>142</v>
      </c>
      <c r="B166" s="83">
        <v>-2.6116072702370641</v>
      </c>
      <c r="C166" s="83">
        <v>1.5096719585396412</v>
      </c>
    </row>
    <row r="167" spans="1:3" x14ac:dyDescent="0.35">
      <c r="A167" s="20">
        <v>143</v>
      </c>
      <c r="B167" s="83">
        <v>1.662614827909251</v>
      </c>
      <c r="C167" s="83">
        <v>0.57246161017640729</v>
      </c>
    </row>
    <row r="168" spans="1:3" x14ac:dyDescent="0.35">
      <c r="A168" s="20">
        <v>144</v>
      </c>
      <c r="B168" s="83">
        <v>1.9374844162144804</v>
      </c>
      <c r="C168" s="83">
        <v>-1.2997835770825381</v>
      </c>
    </row>
    <row r="169" spans="1:3" x14ac:dyDescent="0.35">
      <c r="A169" s="20">
        <v>145</v>
      </c>
      <c r="B169" s="83">
        <v>0.24703644813732031</v>
      </c>
      <c r="C169" s="83">
        <v>-0.56343292195268135</v>
      </c>
    </row>
    <row r="170" spans="1:3" x14ac:dyDescent="0.35">
      <c r="A170" s="20">
        <v>146</v>
      </c>
      <c r="B170" s="83">
        <v>3.5317280283848098</v>
      </c>
      <c r="C170" s="83">
        <v>-0.60568610931958178</v>
      </c>
    </row>
    <row r="171" spans="1:3" x14ac:dyDescent="0.35">
      <c r="A171" s="20">
        <v>147</v>
      </c>
      <c r="B171" s="83">
        <v>0.82426258357830184</v>
      </c>
      <c r="C171" s="83">
        <v>-1.7659232030384788</v>
      </c>
    </row>
    <row r="172" spans="1:3" x14ac:dyDescent="0.35">
      <c r="A172" s="20">
        <v>148</v>
      </c>
      <c r="B172" s="83">
        <v>-0.55008535794784463</v>
      </c>
      <c r="C172" s="83">
        <v>2.3031119124024499</v>
      </c>
    </row>
    <row r="173" spans="1:3" x14ac:dyDescent="0.35">
      <c r="A173" s="20">
        <v>149</v>
      </c>
      <c r="B173" s="83">
        <v>-3.5186769116443211</v>
      </c>
      <c r="C173" s="83">
        <v>-1.1796795925487853</v>
      </c>
    </row>
    <row r="174" spans="1:3" x14ac:dyDescent="0.35">
      <c r="A174" s="20">
        <v>150</v>
      </c>
      <c r="B174" s="83">
        <v>-0.11029401665947774</v>
      </c>
      <c r="C174" s="83">
        <v>2.5855899284206512</v>
      </c>
    </row>
    <row r="175" spans="1:3" x14ac:dyDescent="0.35">
      <c r="A175" s="20">
        <v>151</v>
      </c>
      <c r="B175" s="83">
        <v>0.9754408571461779</v>
      </c>
      <c r="C175" s="83">
        <v>0.2064743266088569</v>
      </c>
    </row>
    <row r="176" spans="1:3" x14ac:dyDescent="0.35">
      <c r="A176" s="20">
        <v>152</v>
      </c>
      <c r="B176" s="83">
        <v>-0.52259839911732164</v>
      </c>
      <c r="C176" s="83">
        <v>1.1070595402648451</v>
      </c>
    </row>
    <row r="177" spans="1:3" x14ac:dyDescent="0.35">
      <c r="A177" s="20">
        <v>153</v>
      </c>
      <c r="B177" s="83">
        <v>1.9099974573839575</v>
      </c>
      <c r="C177" s="83">
        <v>5.0297389848836138E-2</v>
      </c>
    </row>
    <row r="178" spans="1:3" x14ac:dyDescent="0.35">
      <c r="A178" s="20">
        <v>154</v>
      </c>
      <c r="B178" s="83">
        <v>3.5729584666305945</v>
      </c>
      <c r="C178" s="83">
        <v>0.87645003881610606</v>
      </c>
    </row>
    <row r="179" spans="1:3" x14ac:dyDescent="0.35">
      <c r="A179" s="20">
        <v>155</v>
      </c>
      <c r="B179" s="83">
        <v>-1.9519202583045137</v>
      </c>
      <c r="C179" s="83">
        <v>-2.8214105619136922</v>
      </c>
    </row>
    <row r="180" spans="1:3" x14ac:dyDescent="0.35">
      <c r="A180" s="20">
        <v>156</v>
      </c>
      <c r="B180" s="83">
        <v>-4.1576619583170452E-2</v>
      </c>
      <c r="C180" s="83">
        <v>0.66234209073566752</v>
      </c>
    </row>
    <row r="181" spans="1:3" x14ac:dyDescent="0.35">
      <c r="A181" s="20">
        <v>157</v>
      </c>
      <c r="B181" s="83">
        <v>0.53564951585781095</v>
      </c>
      <c r="C181" s="83">
        <v>-1.7306976659917561</v>
      </c>
    </row>
    <row r="182" spans="1:3" x14ac:dyDescent="0.35">
      <c r="A182" s="20">
        <v>158</v>
      </c>
      <c r="B182" s="83">
        <v>0.5493929952730725</v>
      </c>
      <c r="C182" s="83">
        <v>0.72713139610750721</v>
      </c>
    </row>
    <row r="183" spans="1:3" x14ac:dyDescent="0.35">
      <c r="A183" s="20">
        <v>159</v>
      </c>
      <c r="B183" s="83">
        <v>2.4047627163333702</v>
      </c>
      <c r="C183" s="83">
        <v>-0.74098141390267513</v>
      </c>
    </row>
    <row r="184" spans="1:3" x14ac:dyDescent="0.35">
      <c r="A184" s="20">
        <v>160</v>
      </c>
      <c r="B184" s="83">
        <v>0.70057126884094856</v>
      </c>
      <c r="C184" s="83">
        <v>0.11781494942267046</v>
      </c>
    </row>
    <row r="185" spans="1:3" x14ac:dyDescent="0.35">
      <c r="A185" s="20">
        <v>161</v>
      </c>
      <c r="B185" s="83">
        <v>-0.11029401665947774</v>
      </c>
      <c r="C185" s="83">
        <v>9.1315078300574051</v>
      </c>
    </row>
    <row r="186" spans="1:3" x14ac:dyDescent="0.35">
      <c r="A186" s="20">
        <v>162</v>
      </c>
      <c r="B186" s="83">
        <v>1.0441582542224852</v>
      </c>
      <c r="C186" s="83">
        <v>-4.6580369456715793</v>
      </c>
    </row>
    <row r="187" spans="1:3" x14ac:dyDescent="0.35">
      <c r="A187" s="20">
        <v>163</v>
      </c>
      <c r="B187" s="83">
        <v>3.5042410695542867</v>
      </c>
      <c r="C187" s="83">
        <v>-3.0077213731391135</v>
      </c>
    </row>
    <row r="188" spans="1:3" x14ac:dyDescent="0.35">
      <c r="A188" s="20">
        <v>164</v>
      </c>
      <c r="B188" s="83">
        <v>0.8105191041630404</v>
      </c>
      <c r="C188" s="83">
        <v>0.97491968235775284</v>
      </c>
    </row>
    <row r="189" spans="1:3" x14ac:dyDescent="0.35">
      <c r="A189" s="20">
        <v>165</v>
      </c>
      <c r="B189" s="83">
        <v>0.28826688638310471</v>
      </c>
      <c r="C189" s="83">
        <v>-2.5732253693190654</v>
      </c>
    </row>
    <row r="190" spans="1:3" x14ac:dyDescent="0.35">
      <c r="A190" s="20">
        <v>166</v>
      </c>
      <c r="B190" s="83">
        <v>-1.0036201786514729</v>
      </c>
      <c r="C190" s="83">
        <v>1.15261088113336</v>
      </c>
    </row>
    <row r="191" spans="1:3" x14ac:dyDescent="0.35">
      <c r="A191" s="20">
        <v>167</v>
      </c>
      <c r="B191" s="83">
        <v>1.9237409367992191</v>
      </c>
      <c r="C191" s="83">
        <v>-0.32049396000159103</v>
      </c>
    </row>
    <row r="192" spans="1:3" x14ac:dyDescent="0.35">
      <c r="A192" s="20">
        <v>168</v>
      </c>
      <c r="B192" s="83">
        <v>3.023219290020136</v>
      </c>
      <c r="C192" s="83">
        <v>-1.2397411534466749</v>
      </c>
    </row>
    <row r="193" spans="1:3" x14ac:dyDescent="0.35">
      <c r="A193" s="20">
        <v>169</v>
      </c>
      <c r="B193" s="83">
        <v>2.1024061691976179</v>
      </c>
      <c r="C193" s="83">
        <v>-1.8707699216645177</v>
      </c>
    </row>
    <row r="194" spans="1:3" x14ac:dyDescent="0.35">
      <c r="A194" s="20">
        <v>170</v>
      </c>
      <c r="B194" s="83">
        <v>-2.5154029143302341</v>
      </c>
      <c r="C194" s="83">
        <v>1.8221145627631077</v>
      </c>
    </row>
    <row r="195" spans="1:3" x14ac:dyDescent="0.35">
      <c r="A195" s="20">
        <v>171</v>
      </c>
      <c r="B195" s="83">
        <v>0.89297998065460904</v>
      </c>
      <c r="C195" s="83">
        <v>-1.0872551706773488</v>
      </c>
    </row>
    <row r="196" spans="1:3" x14ac:dyDescent="0.35">
      <c r="A196" s="20">
        <v>172</v>
      </c>
      <c r="B196" s="83">
        <v>-2.7490420643896787</v>
      </c>
      <c r="C196" s="83">
        <v>2.9814305520758921E-3</v>
      </c>
    </row>
    <row r="197" spans="1:3" x14ac:dyDescent="0.35">
      <c r="A197" s="20">
        <v>173</v>
      </c>
      <c r="B197" s="83">
        <v>-1.2922332463719637</v>
      </c>
      <c r="C197" s="83">
        <v>-0.82746754495718955</v>
      </c>
    </row>
    <row r="198" spans="1:3" x14ac:dyDescent="0.35">
      <c r="A198" s="20">
        <v>174</v>
      </c>
      <c r="B198" s="83">
        <v>2.0336887721213106</v>
      </c>
      <c r="C198" s="83">
        <v>3.390444940026927</v>
      </c>
    </row>
    <row r="199" spans="1:3" x14ac:dyDescent="0.35">
      <c r="A199" s="20">
        <v>175</v>
      </c>
      <c r="B199" s="83">
        <v>0.21954948930679735</v>
      </c>
      <c r="C199" s="83">
        <v>-1.6849553133744639</v>
      </c>
    </row>
    <row r="200" spans="1:3" x14ac:dyDescent="0.35">
      <c r="A200" s="20">
        <v>176</v>
      </c>
      <c r="B200" s="83">
        <v>1.0441582542224852</v>
      </c>
      <c r="C200" s="83">
        <v>4.0199821205796127E-2</v>
      </c>
    </row>
    <row r="201" spans="1:3" x14ac:dyDescent="0.35">
      <c r="A201" s="20">
        <v>177</v>
      </c>
      <c r="B201" s="83">
        <v>4.2051585197326222</v>
      </c>
      <c r="C201" s="83">
        <v>-1.0891599019429266</v>
      </c>
    </row>
    <row r="202" spans="1:3" x14ac:dyDescent="0.35">
      <c r="A202" s="20">
        <v>178</v>
      </c>
      <c r="B202" s="83">
        <v>2.5834279487317691</v>
      </c>
      <c r="C202" s="83">
        <v>1.3430623356406546E-2</v>
      </c>
    </row>
    <row r="203" spans="1:3" x14ac:dyDescent="0.35">
      <c r="A203" s="20">
        <v>179</v>
      </c>
      <c r="B203" s="83">
        <v>1.5801539514176823</v>
      </c>
      <c r="C203" s="83">
        <v>-0.22877559775020262</v>
      </c>
    </row>
    <row r="204" spans="1:3" x14ac:dyDescent="0.35">
      <c r="A204" s="20">
        <v>180</v>
      </c>
      <c r="B204" s="83">
        <v>-2.8040159820507249</v>
      </c>
      <c r="C204" s="83">
        <v>2.0179937554751026</v>
      </c>
    </row>
    <row r="205" spans="1:3" x14ac:dyDescent="0.35">
      <c r="A205" s="20">
        <v>181</v>
      </c>
      <c r="B205" s="83">
        <v>-1.2235158492956564</v>
      </c>
      <c r="C205" s="83">
        <v>2.14568245636542</v>
      </c>
    </row>
    <row r="206" spans="1:3" x14ac:dyDescent="0.35">
      <c r="A206" s="20">
        <v>182</v>
      </c>
      <c r="B206" s="83">
        <v>1.0579017336377465</v>
      </c>
      <c r="C206" s="83">
        <v>-0.45664791897463375</v>
      </c>
    </row>
    <row r="207" spans="1:3" x14ac:dyDescent="0.35">
      <c r="A207" s="20">
        <v>183</v>
      </c>
      <c r="B207" s="83">
        <v>-0.98987669923621135</v>
      </c>
      <c r="C207" s="83">
        <v>1.4294401694529768</v>
      </c>
    </row>
    <row r="208" spans="1:3" x14ac:dyDescent="0.35">
      <c r="A208" s="20">
        <v>184</v>
      </c>
      <c r="B208" s="83">
        <v>-1.415924561109317</v>
      </c>
      <c r="C208" s="83">
        <v>-0.6549974939825336</v>
      </c>
    </row>
    <row r="209" spans="1:3" x14ac:dyDescent="0.35">
      <c r="A209" s="20">
        <v>185</v>
      </c>
      <c r="B209" s="83">
        <v>2.9957323311896134</v>
      </c>
      <c r="C209" s="83">
        <v>-2.4019376539222019</v>
      </c>
    </row>
    <row r="210" spans="1:3" x14ac:dyDescent="0.35">
      <c r="A210" s="20">
        <v>186</v>
      </c>
      <c r="B210" s="83">
        <v>2.0336887721213106</v>
      </c>
      <c r="C210" s="83">
        <v>-2.9432743720465986</v>
      </c>
    </row>
    <row r="211" spans="1:3" x14ac:dyDescent="0.35">
      <c r="A211" s="20">
        <v>187</v>
      </c>
      <c r="B211" s="83">
        <v>2.8720410164522594</v>
      </c>
      <c r="C211" s="83">
        <v>2.4607389761907417</v>
      </c>
    </row>
    <row r="212" spans="1:3" x14ac:dyDescent="0.35">
      <c r="A212" s="20">
        <v>188</v>
      </c>
      <c r="B212" s="83">
        <v>2.6933757840538606</v>
      </c>
      <c r="C212" s="83">
        <v>0.90909826618867351</v>
      </c>
    </row>
    <row r="213" spans="1:3" x14ac:dyDescent="0.35">
      <c r="A213" s="20">
        <v>189</v>
      </c>
      <c r="B213" s="83">
        <v>-3.0239116526949084</v>
      </c>
      <c r="C213" s="83">
        <v>-2.5553204914059662</v>
      </c>
    </row>
    <row r="214" spans="1:3" x14ac:dyDescent="0.35">
      <c r="A214" s="20">
        <v>190</v>
      </c>
      <c r="B214" s="83">
        <v>3.3255758371558879</v>
      </c>
      <c r="C214" s="83">
        <v>-1.1831443937376225</v>
      </c>
    </row>
    <row r="215" spans="1:3" x14ac:dyDescent="0.35">
      <c r="A215" s="20">
        <v>191</v>
      </c>
      <c r="B215" s="83">
        <v>-1.8557159023976835</v>
      </c>
      <c r="C215" s="83">
        <v>-1.5476341692489159</v>
      </c>
    </row>
    <row r="216" spans="1:3" x14ac:dyDescent="0.35">
      <c r="A216" s="20">
        <v>192</v>
      </c>
      <c r="B216" s="83">
        <v>1.2228234866208842</v>
      </c>
      <c r="C216" s="83">
        <v>0.33849846639224013</v>
      </c>
    </row>
    <row r="217" spans="1:3" x14ac:dyDescent="0.35">
      <c r="A217" s="20">
        <v>193</v>
      </c>
      <c r="B217" s="83">
        <v>-0.23398533139683092</v>
      </c>
      <c r="C217" s="83">
        <v>1.2243304790106685E-2</v>
      </c>
    </row>
    <row r="218" spans="1:3" x14ac:dyDescent="0.35">
      <c r="A218" s="20">
        <v>194</v>
      </c>
      <c r="B218" s="83">
        <v>0.9754408571461779</v>
      </c>
      <c r="C218" s="83">
        <v>-2.5353446247658811</v>
      </c>
    </row>
    <row r="219" spans="1:3" x14ac:dyDescent="0.35">
      <c r="A219" s="20">
        <v>195</v>
      </c>
      <c r="B219" s="83">
        <v>3.4492671518932414</v>
      </c>
      <c r="C219" s="83">
        <v>-2.3862847071806934</v>
      </c>
    </row>
    <row r="220" spans="1:3" x14ac:dyDescent="0.35">
      <c r="A220" s="20">
        <v>196</v>
      </c>
      <c r="B220" s="83">
        <v>0.32949732462888909</v>
      </c>
      <c r="C220" s="83">
        <v>-1.4487385355886335</v>
      </c>
    </row>
    <row r="221" spans="1:3" x14ac:dyDescent="0.35">
      <c r="A221" s="20">
        <v>197</v>
      </c>
      <c r="B221" s="83">
        <v>-0.4401375226257529</v>
      </c>
      <c r="C221" s="83">
        <v>0.82772523282172972</v>
      </c>
    </row>
    <row r="222" spans="1:3" x14ac:dyDescent="0.35">
      <c r="A222" s="20">
        <v>198</v>
      </c>
      <c r="B222" s="83">
        <v>0.37072776287467346</v>
      </c>
      <c r="C222" s="83">
        <v>1.5066586894913438</v>
      </c>
    </row>
    <row r="223" spans="1:3" x14ac:dyDescent="0.35">
      <c r="A223" s="20">
        <v>199</v>
      </c>
      <c r="B223" s="83">
        <v>0.67308431001042568</v>
      </c>
      <c r="C223" s="83">
        <v>4.6014202768044266</v>
      </c>
    </row>
    <row r="224" spans="1:3" x14ac:dyDescent="0.35">
      <c r="A224" s="20">
        <v>200</v>
      </c>
      <c r="B224" s="83">
        <v>1.0579017336377465</v>
      </c>
      <c r="C224" s="83">
        <v>2.5392529970810651</v>
      </c>
    </row>
    <row r="225" spans="1:3" x14ac:dyDescent="0.35">
      <c r="A225" s="20">
        <v>201</v>
      </c>
      <c r="B225" s="83">
        <v>1.8000496220618658</v>
      </c>
      <c r="C225" s="83">
        <v>-2.4883675697750092</v>
      </c>
    </row>
    <row r="226" spans="1:3" x14ac:dyDescent="0.35">
      <c r="A226" s="20">
        <v>202</v>
      </c>
      <c r="B226" s="83">
        <v>1.4014887190192833</v>
      </c>
      <c r="C226" s="83">
        <v>-1.5802740337715853</v>
      </c>
    </row>
    <row r="227" spans="1:3" x14ac:dyDescent="0.35">
      <c r="A227" s="20">
        <v>203</v>
      </c>
      <c r="B227" s="83">
        <v>0.65934083059516424</v>
      </c>
      <c r="C227" s="83">
        <v>0.47839670102656728</v>
      </c>
    </row>
    <row r="228" spans="1:3" x14ac:dyDescent="0.35">
      <c r="A228" s="20">
        <v>204</v>
      </c>
      <c r="B228" s="83">
        <v>6.6514978556491622</v>
      </c>
      <c r="C228" s="83">
        <v>-3.2831459547704536</v>
      </c>
    </row>
    <row r="229" spans="1:3" x14ac:dyDescent="0.35">
      <c r="A229" s="20">
        <v>205</v>
      </c>
      <c r="B229" s="83">
        <v>-2.5291463937454952</v>
      </c>
      <c r="C229" s="83">
        <v>1.0423431660106546</v>
      </c>
    </row>
    <row r="230" spans="1:3" x14ac:dyDescent="0.35">
      <c r="A230" s="20">
        <v>206</v>
      </c>
      <c r="B230" s="83">
        <v>1.9787148544602646</v>
      </c>
      <c r="C230" s="83">
        <v>0.97662722472787489</v>
      </c>
    </row>
    <row r="231" spans="1:3" x14ac:dyDescent="0.35">
      <c r="A231" s="20">
        <v>207</v>
      </c>
      <c r="B231" s="83">
        <v>-0.13778097549000071</v>
      </c>
      <c r="C231" s="83">
        <v>2.6633113347822501</v>
      </c>
    </row>
    <row r="232" spans="1:3" ht="15" thickBot="1" x14ac:dyDescent="0.4">
      <c r="A232" s="21">
        <v>208</v>
      </c>
      <c r="B232" s="87">
        <v>0.23329296872205885</v>
      </c>
      <c r="C232" s="87">
        <v>1.1673599475599779</v>
      </c>
    </row>
  </sheetData>
  <mergeCells count="1">
    <mergeCell ref="A1:B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11"/>
  <sheetViews>
    <sheetView topLeftCell="A3" workbookViewId="0">
      <selection activeCell="F11" sqref="F11"/>
    </sheetView>
  </sheetViews>
  <sheetFormatPr defaultRowHeight="14.5" x14ac:dyDescent="0.35"/>
  <cols>
    <col min="2" max="2" width="18.7265625" bestFit="1" customWidth="1"/>
    <col min="3" max="3" width="19.1796875" bestFit="1" customWidth="1"/>
    <col min="4" max="4" width="14.54296875" bestFit="1" customWidth="1"/>
    <col min="6" max="6" width="6.36328125" bestFit="1" customWidth="1"/>
    <col min="7" max="7" width="20" bestFit="1" customWidth="1"/>
  </cols>
  <sheetData>
    <row r="2" spans="2:9" x14ac:dyDescent="0.35">
      <c r="B2" s="4" t="s">
        <v>58</v>
      </c>
      <c r="C2" s="28">
        <v>6.2500000000000003E-3</v>
      </c>
      <c r="I2" s="27"/>
    </row>
    <row r="3" spans="2:9" x14ac:dyDescent="0.35">
      <c r="B3" s="4" t="s">
        <v>59</v>
      </c>
      <c r="C3" s="5">
        <v>7.0000000000000007E-2</v>
      </c>
      <c r="I3" s="27"/>
    </row>
    <row r="4" spans="2:9" x14ac:dyDescent="0.35">
      <c r="I4" s="27"/>
    </row>
    <row r="5" spans="2:9" x14ac:dyDescent="0.35">
      <c r="I5" s="27"/>
    </row>
    <row r="6" spans="2:9" x14ac:dyDescent="0.35">
      <c r="B6" s="29"/>
      <c r="C6" s="29" t="s">
        <v>61</v>
      </c>
      <c r="D6" s="29" t="s">
        <v>16</v>
      </c>
      <c r="E6" s="29" t="s">
        <v>62</v>
      </c>
      <c r="F6" s="14"/>
    </row>
    <row r="7" spans="2:9" x14ac:dyDescent="0.35">
      <c r="B7" s="4" t="s">
        <v>5</v>
      </c>
      <c r="C7" s="30">
        <f>Q3_BIIB_Reg!B18</f>
        <v>1.243143341949537</v>
      </c>
      <c r="D7" s="31">
        <f>$C$2+$C$3*C7</f>
        <v>9.32700339364676E-2</v>
      </c>
      <c r="E7" s="35">
        <v>0.2</v>
      </c>
      <c r="F7" s="33">
        <f>D7*E7</f>
        <v>1.8654006787293519E-2</v>
      </c>
    </row>
    <row r="8" spans="2:9" x14ac:dyDescent="0.35">
      <c r="B8" s="4" t="s">
        <v>6</v>
      </c>
      <c r="C8" s="30">
        <f>Q3_BNCN_Reg!B18</f>
        <v>0.79442742209325934</v>
      </c>
      <c r="D8" s="31">
        <f t="shared" ref="D8:D10" si="0">$C$2+$C$3*C8</f>
        <v>6.1859919546528155E-2</v>
      </c>
      <c r="E8" s="35">
        <v>0.2</v>
      </c>
      <c r="F8" s="33">
        <f t="shared" ref="F8:F10" si="1">D8*E8</f>
        <v>1.2371983909305632E-2</v>
      </c>
    </row>
    <row r="9" spans="2:9" x14ac:dyDescent="0.35">
      <c r="B9" s="4" t="s">
        <v>7</v>
      </c>
      <c r="C9" s="30">
        <f>Q3_CELG_Reg!B18</f>
        <v>1.3558838533999298</v>
      </c>
      <c r="D9" s="31">
        <f t="shared" si="0"/>
        <v>0.1011618697379951</v>
      </c>
      <c r="E9" s="35">
        <v>0.25</v>
      </c>
      <c r="F9" s="33">
        <f t="shared" si="1"/>
        <v>2.5290467434498774E-2</v>
      </c>
    </row>
    <row r="10" spans="2:9" x14ac:dyDescent="0.35">
      <c r="B10" s="4" t="s">
        <v>8</v>
      </c>
      <c r="C10" s="30">
        <f>Q3_MCHP_Reg!B18</f>
        <v>1.3743479415261464</v>
      </c>
      <c r="D10" s="31">
        <f t="shared" si="0"/>
        <v>0.10245435590683026</v>
      </c>
      <c r="E10" s="35">
        <v>0.35</v>
      </c>
      <c r="F10" s="33">
        <f t="shared" si="1"/>
        <v>3.5859024567390589E-2</v>
      </c>
    </row>
    <row r="11" spans="2:9" x14ac:dyDescent="0.35">
      <c r="B11" s="4" t="s">
        <v>63</v>
      </c>
      <c r="C11" s="32"/>
      <c r="D11" s="34">
        <f t="array" ref="D11">MMULT(TRANSPOSE(D7:D10),E7:E10)</f>
        <v>9.217548269848852E-2</v>
      </c>
      <c r="E11" s="34">
        <f>SUM(E7:E10)</f>
        <v>1</v>
      </c>
      <c r="F11" s="34">
        <f>SUM(F7:F10)</f>
        <v>9.217548269848852E-2</v>
      </c>
      <c r="G11" t="s">
        <v>65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T24"/>
  <sheetViews>
    <sheetView topLeftCell="A8" workbookViewId="0">
      <selection activeCell="F23" sqref="F23"/>
    </sheetView>
  </sheetViews>
  <sheetFormatPr defaultRowHeight="14.5" x14ac:dyDescent="0.35"/>
  <cols>
    <col min="1" max="1" width="2.26953125" customWidth="1"/>
  </cols>
  <sheetData>
    <row r="2" spans="2:20" ht="15" thickBot="1" x14ac:dyDescent="0.4">
      <c r="B2" s="107" t="s">
        <v>66</v>
      </c>
      <c r="C2" s="107"/>
      <c r="D2" s="107"/>
      <c r="E2" s="107"/>
      <c r="F2" s="107"/>
      <c r="G2" s="107"/>
    </row>
    <row r="3" spans="2:20" x14ac:dyDescent="0.35">
      <c r="B3" s="22"/>
      <c r="C3" s="22" t="s">
        <v>92</v>
      </c>
      <c r="D3" s="22" t="s">
        <v>93</v>
      </c>
      <c r="E3" s="22" t="s">
        <v>94</v>
      </c>
      <c r="F3" s="22" t="s">
        <v>95</v>
      </c>
    </row>
    <row r="4" spans="2:20" x14ac:dyDescent="0.35">
      <c r="B4" s="20" t="s">
        <v>92</v>
      </c>
      <c r="C4" s="83">
        <v>1</v>
      </c>
      <c r="D4" s="83"/>
      <c r="E4" s="83"/>
      <c r="F4" s="83"/>
    </row>
    <row r="5" spans="2:20" x14ac:dyDescent="0.35">
      <c r="B5" s="20" t="s">
        <v>93</v>
      </c>
      <c r="C5" s="83">
        <v>0.144152190906705</v>
      </c>
      <c r="D5" s="83">
        <v>1</v>
      </c>
      <c r="E5" s="83"/>
      <c r="F5" s="83"/>
    </row>
    <row r="6" spans="2:20" x14ac:dyDescent="0.35">
      <c r="B6" s="20" t="s">
        <v>94</v>
      </c>
      <c r="C6" s="83">
        <v>0.46804151509403275</v>
      </c>
      <c r="D6" s="83">
        <v>0.15627826242593995</v>
      </c>
      <c r="E6" s="83">
        <v>1</v>
      </c>
      <c r="F6" s="83"/>
    </row>
    <row r="7" spans="2:20" ht="15" thickBot="1" x14ac:dyDescent="0.4">
      <c r="B7" s="21" t="s">
        <v>95</v>
      </c>
      <c r="C7" s="87">
        <v>0.37041920388696031</v>
      </c>
      <c r="D7" s="87">
        <v>0.2090624967202766</v>
      </c>
      <c r="E7" s="87">
        <v>0.39214779045123738</v>
      </c>
      <c r="F7" s="87">
        <v>1</v>
      </c>
    </row>
    <row r="11" spans="2:20" ht="15" thickBot="1" x14ac:dyDescent="0.4">
      <c r="B11" s="107" t="s">
        <v>67</v>
      </c>
      <c r="C11" s="107"/>
      <c r="D11" s="107"/>
      <c r="E11" s="107"/>
      <c r="F11" s="107"/>
      <c r="G11" s="107"/>
      <c r="I11" s="108" t="s">
        <v>68</v>
      </c>
      <c r="J11" s="108"/>
      <c r="K11" s="108"/>
      <c r="L11" s="108"/>
      <c r="M11" s="108"/>
      <c r="P11" s="108" t="s">
        <v>68</v>
      </c>
      <c r="Q11" s="108"/>
      <c r="R11" s="108"/>
      <c r="S11" s="108"/>
      <c r="T11" s="108"/>
    </row>
    <row r="12" spans="2:20" x14ac:dyDescent="0.35">
      <c r="B12" s="22"/>
      <c r="C12" s="22" t="s">
        <v>92</v>
      </c>
      <c r="D12" s="22" t="s">
        <v>93</v>
      </c>
      <c r="E12" s="22" t="s">
        <v>94</v>
      </c>
      <c r="F12" s="22" t="s">
        <v>95</v>
      </c>
      <c r="I12" s="22"/>
      <c r="J12" s="22" t="s">
        <v>5</v>
      </c>
      <c r="K12" s="22" t="s">
        <v>6</v>
      </c>
      <c r="L12" s="22" t="s">
        <v>7</v>
      </c>
      <c r="M12" s="22" t="s">
        <v>8</v>
      </c>
      <c r="P12" s="22"/>
      <c r="Q12" s="22" t="s">
        <v>5</v>
      </c>
      <c r="R12" s="22" t="s">
        <v>6</v>
      </c>
      <c r="S12" s="22" t="s">
        <v>7</v>
      </c>
      <c r="T12" s="22" t="s">
        <v>8</v>
      </c>
    </row>
    <row r="13" spans="2:20" x14ac:dyDescent="0.35">
      <c r="B13" s="20" t="s">
        <v>92</v>
      </c>
      <c r="C13" s="83">
        <f>VARP(Returns!$G$2:$G$209)</f>
        <v>22.957347859828428</v>
      </c>
      <c r="D13" s="83"/>
      <c r="E13" s="83"/>
      <c r="F13" s="83"/>
      <c r="G13" s="26"/>
      <c r="H13" s="26"/>
      <c r="I13" s="83" t="s">
        <v>5</v>
      </c>
      <c r="J13" s="83">
        <f>C13*0.0001</f>
        <v>2.2957347859828428E-3</v>
      </c>
      <c r="K13" s="83"/>
      <c r="L13" s="83"/>
      <c r="M13" s="83"/>
      <c r="N13" s="26"/>
      <c r="O13" s="26"/>
      <c r="P13" s="83" t="s">
        <v>5</v>
      </c>
      <c r="Q13" s="83">
        <f>J13*52</f>
        <v>0.11937820887110782</v>
      </c>
      <c r="R13" s="83">
        <f>Q14</f>
        <v>1.2558958631723204E-2</v>
      </c>
      <c r="S13" s="83">
        <f>Q15</f>
        <v>4.7956090449050567E-2</v>
      </c>
      <c r="T13" s="83">
        <f>Q16</f>
        <v>2.9649875540750777E-2</v>
      </c>
    </row>
    <row r="14" spans="2:20" x14ac:dyDescent="0.35">
      <c r="B14" s="20" t="s">
        <v>93</v>
      </c>
      <c r="C14" s="83">
        <v>2.415184352254462</v>
      </c>
      <c r="D14" s="83">
        <f>VARP(Returns!$H$2:$H$209)</f>
        <v>12.227463153807026</v>
      </c>
      <c r="E14" s="83"/>
      <c r="F14" s="83"/>
      <c r="G14" s="26"/>
      <c r="H14" s="26"/>
      <c r="I14" s="83" t="s">
        <v>6</v>
      </c>
      <c r="J14" s="83">
        <f>C14*0.0001</f>
        <v>2.4151843522544621E-4</v>
      </c>
      <c r="K14" s="83">
        <f>D14*0.0001</f>
        <v>1.2227463153807027E-3</v>
      </c>
      <c r="L14" s="83"/>
      <c r="M14" s="83"/>
      <c r="N14" s="26"/>
      <c r="O14" s="26"/>
      <c r="P14" s="83" t="s">
        <v>6</v>
      </c>
      <c r="Q14" s="83">
        <f>J14*(52)</f>
        <v>1.2558958631723204E-2</v>
      </c>
      <c r="R14" s="83">
        <f>K14*52</f>
        <v>6.3582808399796548E-2</v>
      </c>
      <c r="S14" s="83">
        <f>R15</f>
        <v>1.1685984123737015E-2</v>
      </c>
      <c r="T14" s="83">
        <f>R16</f>
        <v>1.2212732291380625E-2</v>
      </c>
    </row>
    <row r="15" spans="2:20" x14ac:dyDescent="0.35">
      <c r="B15" s="20" t="s">
        <v>94</v>
      </c>
      <c r="C15" s="83">
        <v>9.2223250863558786</v>
      </c>
      <c r="D15" s="83">
        <v>2.2473046391801952</v>
      </c>
      <c r="E15" s="83">
        <f>VARP(Returns!$I$2:$I$209)</f>
        <v>16.911821497669493</v>
      </c>
      <c r="F15" s="83"/>
      <c r="G15" s="26"/>
      <c r="H15" s="26"/>
      <c r="I15" s="83" t="s">
        <v>7</v>
      </c>
      <c r="J15" s="83">
        <f>C15*0.0001</f>
        <v>9.222325086355879E-4</v>
      </c>
      <c r="K15" s="83">
        <f>D15*0.0001</f>
        <v>2.2473046391801953E-4</v>
      </c>
      <c r="L15" s="83">
        <f>E15*0.0001</f>
        <v>1.6911821497669493E-3</v>
      </c>
      <c r="M15" s="83"/>
      <c r="N15" s="26"/>
      <c r="O15" s="26"/>
      <c r="P15" s="83" t="s">
        <v>7</v>
      </c>
      <c r="Q15" s="83">
        <f>J15*(52)</f>
        <v>4.7956090449050567E-2</v>
      </c>
      <c r="R15" s="83">
        <f>K15*(52)</f>
        <v>1.1685984123737015E-2</v>
      </c>
      <c r="S15" s="83">
        <f>L15*52</f>
        <v>8.7941471787881365E-2</v>
      </c>
      <c r="T15" s="83">
        <f>S16</f>
        <v>2.694098614823516E-2</v>
      </c>
    </row>
    <row r="16" spans="2:20" ht="15" thickBot="1" x14ac:dyDescent="0.4">
      <c r="B16" s="21" t="s">
        <v>95</v>
      </c>
      <c r="C16" s="87">
        <v>5.7018991424520724</v>
      </c>
      <c r="D16" s="87">
        <v>2.3486023637270432</v>
      </c>
      <c r="E16" s="87">
        <v>5.1809588746606083</v>
      </c>
      <c r="F16" s="87">
        <f>VARP(Returns!$J$2:$J$209)</f>
        <v>10.321203933103384</v>
      </c>
      <c r="G16" s="26"/>
      <c r="H16" s="26"/>
      <c r="I16" s="87" t="s">
        <v>8</v>
      </c>
      <c r="J16" s="87">
        <f>C16*0.0001</f>
        <v>5.7018991424520723E-4</v>
      </c>
      <c r="K16" s="87">
        <f>D16*0.0001</f>
        <v>2.3486023637270433E-4</v>
      </c>
      <c r="L16" s="87">
        <f>E16*0.0001</f>
        <v>5.1809588746606081E-4</v>
      </c>
      <c r="M16" s="87">
        <f>F16*0.0001</f>
        <v>1.0321203933103384E-3</v>
      </c>
      <c r="N16" s="26"/>
      <c r="O16" s="26"/>
      <c r="P16" s="87" t="s">
        <v>8</v>
      </c>
      <c r="Q16" s="87">
        <f>J16*(52)</f>
        <v>2.9649875540750777E-2</v>
      </c>
      <c r="R16" s="87">
        <f>K16*(52)</f>
        <v>1.2212732291380625E-2</v>
      </c>
      <c r="S16" s="87">
        <f>L16*(52)</f>
        <v>2.694098614823516E-2</v>
      </c>
      <c r="T16" s="87">
        <f>M16*(52)</f>
        <v>5.3670260452137596E-2</v>
      </c>
    </row>
    <row r="18" spans="2:12" x14ac:dyDescent="0.35">
      <c r="L18">
        <f>L15*52</f>
        <v>8.7941471787881365E-2</v>
      </c>
    </row>
    <row r="19" spans="2:12" x14ac:dyDescent="0.35">
      <c r="C19" s="29" t="s">
        <v>62</v>
      </c>
      <c r="D19" s="109" t="s">
        <v>15</v>
      </c>
      <c r="E19" s="109"/>
    </row>
    <row r="20" spans="2:12" x14ac:dyDescent="0.35">
      <c r="B20" s="4" t="s">
        <v>5</v>
      </c>
      <c r="C20" s="35">
        <v>0.2</v>
      </c>
      <c r="D20" s="36" t="s">
        <v>69</v>
      </c>
      <c r="E20" s="89">
        <f t="array" ref="E20">SQRT(MMULT(TRANSPOSE(Weight),MMULT(varcov,Weight)))</f>
        <v>0.19218155843686402</v>
      </c>
      <c r="F20" t="str">
        <f ca="1">gformula(E20)</f>
        <v>&lt;--  { =SQRT(MMULT(TRANSPOSE(Weight),MMULT(varcov,Weight)))}</v>
      </c>
    </row>
    <row r="21" spans="2:12" x14ac:dyDescent="0.35">
      <c r="B21" s="4" t="s">
        <v>6</v>
      </c>
      <c r="C21" s="35">
        <v>0.2</v>
      </c>
    </row>
    <row r="22" spans="2:12" x14ac:dyDescent="0.35">
      <c r="B22" s="4" t="s">
        <v>7</v>
      </c>
      <c r="C22" s="35">
        <v>0.25</v>
      </c>
    </row>
    <row r="23" spans="2:12" x14ac:dyDescent="0.35">
      <c r="B23" s="4" t="s">
        <v>8</v>
      </c>
      <c r="C23" s="35">
        <v>0.35</v>
      </c>
    </row>
    <row r="24" spans="2:12" x14ac:dyDescent="0.35">
      <c r="C24" s="34">
        <f>SUM(C20:C23)</f>
        <v>1</v>
      </c>
    </row>
  </sheetData>
  <mergeCells count="5">
    <mergeCell ref="B11:G11"/>
    <mergeCell ref="B2:G2"/>
    <mergeCell ref="I11:M11"/>
    <mergeCell ref="P11:T11"/>
    <mergeCell ref="D19:E1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2:M27"/>
  <sheetViews>
    <sheetView workbookViewId="0">
      <selection activeCell="I9" sqref="I9"/>
    </sheetView>
  </sheetViews>
  <sheetFormatPr defaultRowHeight="14.5" x14ac:dyDescent="0.35"/>
  <cols>
    <col min="2" max="2" width="22.81640625" bestFit="1" customWidth="1"/>
    <col min="3" max="3" width="8.36328125" bestFit="1" customWidth="1"/>
    <col min="4" max="4" width="9.36328125" bestFit="1" customWidth="1"/>
    <col min="5" max="5" width="15.7265625" bestFit="1" customWidth="1"/>
    <col min="6" max="6" width="8.26953125" bestFit="1" customWidth="1"/>
    <col min="7" max="7" width="1.54296875" customWidth="1"/>
    <col min="8" max="8" width="22.81640625" bestFit="1" customWidth="1"/>
    <col min="9" max="9" width="9.36328125" bestFit="1" customWidth="1"/>
    <col min="10" max="10" width="15.7265625" bestFit="1" customWidth="1"/>
    <col min="11" max="11" width="8.26953125" bestFit="1" customWidth="1"/>
    <col min="12" max="12" width="11.81640625" bestFit="1" customWidth="1"/>
    <col min="13" max="13" width="15.7265625" bestFit="1" customWidth="1"/>
    <col min="14" max="14" width="9.36328125" bestFit="1" customWidth="1"/>
    <col min="16" max="16" width="13.26953125" customWidth="1"/>
  </cols>
  <sheetData>
    <row r="2" spans="2:13" x14ac:dyDescent="0.35">
      <c r="B2" s="4"/>
      <c r="C2" s="104" t="s">
        <v>85</v>
      </c>
      <c r="D2" s="104"/>
      <c r="E2" s="104"/>
      <c r="F2" s="104"/>
      <c r="G2" s="52"/>
      <c r="H2" s="104" t="s">
        <v>86</v>
      </c>
      <c r="I2" s="104"/>
      <c r="J2" s="104"/>
      <c r="K2" s="104"/>
      <c r="L2" s="104" t="s">
        <v>101</v>
      </c>
      <c r="M2" s="104"/>
    </row>
    <row r="3" spans="2:13" x14ac:dyDescent="0.35">
      <c r="B3" s="4"/>
      <c r="C3" s="4" t="s">
        <v>87</v>
      </c>
      <c r="D3" s="4" t="s">
        <v>88</v>
      </c>
      <c r="E3" s="4" t="s">
        <v>90</v>
      </c>
      <c r="F3" s="4" t="s">
        <v>89</v>
      </c>
      <c r="G3" s="4"/>
      <c r="H3" s="4" t="s">
        <v>87</v>
      </c>
      <c r="I3" s="4" t="s">
        <v>88</v>
      </c>
      <c r="J3" s="4" t="s">
        <v>90</v>
      </c>
      <c r="K3" s="4" t="s">
        <v>89</v>
      </c>
      <c r="L3" s="4" t="s">
        <v>87</v>
      </c>
      <c r="M3" s="4" t="s">
        <v>90</v>
      </c>
    </row>
    <row r="4" spans="2:13" x14ac:dyDescent="0.35">
      <c r="B4" s="4" t="s">
        <v>5</v>
      </c>
      <c r="C4" s="89">
        <f>SLOPE(BIIB1,Mkt_RF1)</f>
        <v>1.1087027732081358</v>
      </c>
      <c r="D4" s="89">
        <f>tslope(BIIB1,Mkt_RF1)</f>
        <v>4.5804230233456131</v>
      </c>
      <c r="E4" s="89">
        <f>STEYX(BIIB1,Mkt_RF1)</f>
        <v>3.6081117061591659</v>
      </c>
      <c r="F4" s="89">
        <f>RSQ(BIIB1,Mkt_RF1)</f>
        <v>0.17059870016045997</v>
      </c>
      <c r="G4" s="89"/>
      <c r="H4" s="89">
        <f>SLOPE(BIIB2,Mkt_RF2)</f>
        <v>1.3091073375740483</v>
      </c>
      <c r="I4" s="89">
        <f>tslope(BIIB2,Mkt_RF2)</f>
        <v>5.1052065645437779</v>
      </c>
      <c r="J4" s="89">
        <f>STEYX(BIIB2,Mkt_RF2)</f>
        <v>4.9581355257160453</v>
      </c>
      <c r="K4" s="89">
        <f>RSQ(BIIB2,Mkt_RF2)</f>
        <v>0.20351785278887657</v>
      </c>
      <c r="L4" s="89">
        <f>SLOPE(BIIB,Mkt_RF)</f>
        <v>1.243143341949537</v>
      </c>
      <c r="M4" s="89">
        <f>STEYX(BIIB,Mkt_RF)</f>
        <v>4.3215496306630463</v>
      </c>
    </row>
    <row r="5" spans="2:13" x14ac:dyDescent="0.35">
      <c r="B5" s="4" t="s">
        <v>8</v>
      </c>
      <c r="C5" s="89">
        <f>SLOPE(MCHP1,Mkt_RF1)</f>
        <v>1.2647360271865353</v>
      </c>
      <c r="D5" s="89">
        <f>tslope(MCHP1,Mkt_RF1)</f>
        <v>8.5720784315330061</v>
      </c>
      <c r="E5" s="89">
        <f>STEYX(MCHP1,Mkt_RF1)</f>
        <v>2.1992985294592957</v>
      </c>
      <c r="F5" s="89">
        <f>RSQ(MCHP1,Mkt_RF1)</f>
        <v>0.41873892908441329</v>
      </c>
      <c r="G5" s="89"/>
      <c r="H5" s="89">
        <f>SLOPE(MCHP2,Mkt_RF2)</f>
        <v>1.4545796104730373</v>
      </c>
      <c r="I5" s="89">
        <f>tslope(MCHP2,Mkt_RF2)</f>
        <v>12.615404231793075</v>
      </c>
      <c r="J5" s="89">
        <f>STEYX(MCHP2,Mkt_RF2)</f>
        <v>2.229424554313912</v>
      </c>
      <c r="K5" s="89">
        <f>RSQ(MCHP2,Mkt_RF2)</f>
        <v>0.60941751642836506</v>
      </c>
      <c r="L5" s="89">
        <f>SLOPE(MCHP,Mkt_RF)</f>
        <v>1.3743479415261453</v>
      </c>
      <c r="M5" s="89">
        <f>STEYX(MCHP,Mkt_RF)</f>
        <v>2.2171983854701973</v>
      </c>
    </row>
    <row r="19" spans="2:12" ht="14.5" customHeight="1" x14ac:dyDescent="0.35">
      <c r="B19" s="121" t="s">
        <v>81</v>
      </c>
      <c r="C19" s="121"/>
      <c r="D19" s="121"/>
      <c r="E19" s="121"/>
      <c r="F19" s="121"/>
      <c r="H19" s="115" t="s">
        <v>84</v>
      </c>
      <c r="I19" s="116"/>
      <c r="J19" s="116"/>
      <c r="K19" s="116"/>
      <c r="L19" s="117"/>
    </row>
    <row r="20" spans="2:12" ht="14.5" customHeight="1" x14ac:dyDescent="0.35">
      <c r="B20" s="121"/>
      <c r="C20" s="121"/>
      <c r="D20" s="121"/>
      <c r="E20" s="121"/>
      <c r="F20" s="121"/>
      <c r="H20" s="118"/>
      <c r="I20" s="119"/>
      <c r="J20" s="119"/>
      <c r="K20" s="119"/>
      <c r="L20" s="120"/>
    </row>
    <row r="21" spans="2:12" x14ac:dyDescent="0.35">
      <c r="B21" s="37"/>
      <c r="C21" s="38"/>
      <c r="D21" s="38"/>
      <c r="E21" s="38"/>
      <c r="F21" s="39"/>
      <c r="H21" s="37"/>
      <c r="I21" s="38"/>
      <c r="J21" s="38"/>
      <c r="K21" s="38"/>
      <c r="L21" s="39"/>
    </row>
    <row r="22" spans="2:12" ht="15" thickBot="1" x14ac:dyDescent="0.4">
      <c r="B22" s="40"/>
      <c r="C22" s="10" t="s">
        <v>70</v>
      </c>
      <c r="D22" s="10" t="s">
        <v>37</v>
      </c>
      <c r="E22" s="10"/>
      <c r="F22" s="59"/>
      <c r="G22" s="10"/>
      <c r="H22" s="40"/>
      <c r="I22" s="10" t="s">
        <v>70</v>
      </c>
      <c r="J22" s="10" t="s">
        <v>37</v>
      </c>
      <c r="K22" s="41"/>
      <c r="L22" s="42"/>
    </row>
    <row r="23" spans="2:12" ht="16" thickTop="1" x14ac:dyDescent="0.35">
      <c r="B23" s="43" t="s">
        <v>71</v>
      </c>
      <c r="C23" s="90">
        <f t="array" ref="C23:D27">LINEST(BIIB,Mkt_RF,TRUE,TRUE)</f>
        <v>1.243143341949537</v>
      </c>
      <c r="D23" s="91">
        <v>1.9668247755333934E-3</v>
      </c>
      <c r="E23" s="110" t="s">
        <v>72</v>
      </c>
      <c r="F23" s="111"/>
      <c r="G23" s="47"/>
      <c r="H23" s="43" t="s">
        <v>71</v>
      </c>
      <c r="I23" s="90">
        <f t="array" ref="I23:J27">LINEST(MCHP,Mkt_RF,TRUE,TRUE)</f>
        <v>1.3743479415261464</v>
      </c>
      <c r="J23" s="91">
        <v>5.4627736323659803E-2</v>
      </c>
      <c r="K23" s="110" t="s">
        <v>72</v>
      </c>
      <c r="L23" s="111"/>
    </row>
    <row r="24" spans="2:12" ht="15" thickBot="1" x14ac:dyDescent="0.4">
      <c r="B24" s="44" t="s">
        <v>73</v>
      </c>
      <c r="C24" s="92">
        <v>0.17636261519374161</v>
      </c>
      <c r="D24" s="92">
        <v>0.30352894654148055</v>
      </c>
      <c r="E24" s="110" t="s">
        <v>74</v>
      </c>
      <c r="F24" s="111"/>
      <c r="G24" s="47"/>
      <c r="H24" s="44" t="s">
        <v>73</v>
      </c>
      <c r="I24" s="92">
        <v>9.0483955776037309E-2</v>
      </c>
      <c r="J24" s="92">
        <v>0.15572744680291589</v>
      </c>
      <c r="K24" s="110" t="s">
        <v>74</v>
      </c>
      <c r="L24" s="111"/>
    </row>
    <row r="25" spans="2:12" ht="15.5" thickTop="1" thickBot="1" x14ac:dyDescent="0.4">
      <c r="B25" s="44" t="s">
        <v>75</v>
      </c>
      <c r="C25" s="93">
        <v>0.1943226017337249</v>
      </c>
      <c r="D25" s="94">
        <v>4.3215496306630472</v>
      </c>
      <c r="E25" s="112" t="s">
        <v>76</v>
      </c>
      <c r="F25" s="111"/>
      <c r="G25" s="47"/>
      <c r="H25" s="44" t="s">
        <v>75</v>
      </c>
      <c r="I25" s="93">
        <v>0.52828179905488715</v>
      </c>
      <c r="J25" s="94">
        <v>2.2171983854701973</v>
      </c>
      <c r="K25" s="112" t="s">
        <v>76</v>
      </c>
      <c r="L25" s="111"/>
    </row>
    <row r="26" spans="2:12" ht="15" thickTop="1" x14ac:dyDescent="0.35">
      <c r="B26" s="44" t="s">
        <v>77</v>
      </c>
      <c r="C26" s="95">
        <v>49.685464732271569</v>
      </c>
      <c r="D26" s="45">
        <v>206</v>
      </c>
      <c r="E26" s="112" t="s">
        <v>78</v>
      </c>
      <c r="F26" s="111"/>
      <c r="G26" s="48"/>
      <c r="H26" s="44" t="s">
        <v>77</v>
      </c>
      <c r="I26" s="95">
        <v>230.70140263247828</v>
      </c>
      <c r="J26" s="45">
        <v>206</v>
      </c>
      <c r="K26" s="112" t="s">
        <v>78</v>
      </c>
      <c r="L26" s="111"/>
    </row>
    <row r="27" spans="2:12" x14ac:dyDescent="0.35">
      <c r="B27" s="46" t="s">
        <v>79</v>
      </c>
      <c r="C27" s="96">
        <v>927.9153655258292</v>
      </c>
      <c r="D27" s="97">
        <v>3847.2129893184879</v>
      </c>
      <c r="E27" s="113" t="s">
        <v>80</v>
      </c>
      <c r="F27" s="114"/>
      <c r="G27" s="49"/>
      <c r="H27" s="46" t="s">
        <v>79</v>
      </c>
      <c r="I27" s="96">
        <v>1134.1208698959849</v>
      </c>
      <c r="J27" s="97">
        <v>1012.6895481895198</v>
      </c>
      <c r="K27" s="113" t="s">
        <v>80</v>
      </c>
      <c r="L27" s="114"/>
    </row>
  </sheetData>
  <mergeCells count="15">
    <mergeCell ref="K25:L25"/>
    <mergeCell ref="K26:L26"/>
    <mergeCell ref="K27:L27"/>
    <mergeCell ref="H19:L20"/>
    <mergeCell ref="E23:F23"/>
    <mergeCell ref="E24:F24"/>
    <mergeCell ref="E25:F25"/>
    <mergeCell ref="E26:F26"/>
    <mergeCell ref="E27:F27"/>
    <mergeCell ref="B19:F20"/>
    <mergeCell ref="C2:F2"/>
    <mergeCell ref="H2:K2"/>
    <mergeCell ref="L2:M2"/>
    <mergeCell ref="K23:L23"/>
    <mergeCell ref="K24:L24"/>
  </mergeCell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2:L212"/>
  <sheetViews>
    <sheetView topLeftCell="E1" workbookViewId="0">
      <selection activeCell="P4" sqref="P4"/>
    </sheetView>
  </sheetViews>
  <sheetFormatPr defaultRowHeight="14.5" x14ac:dyDescent="0.35"/>
  <cols>
    <col min="1" max="1" width="11.36328125" bestFit="1" customWidth="1"/>
    <col min="2" max="5" width="12.453125" bestFit="1" customWidth="1"/>
    <col min="8" max="8" width="5.90625" bestFit="1" customWidth="1"/>
    <col min="9" max="12" width="12.453125" bestFit="1" customWidth="1"/>
  </cols>
  <sheetData>
    <row r="2" spans="1:12" ht="15" thickBot="1" x14ac:dyDescent="0.4">
      <c r="B2" s="122" t="s">
        <v>52</v>
      </c>
      <c r="C2" s="122"/>
      <c r="D2" s="122"/>
      <c r="E2" s="122"/>
    </row>
    <row r="3" spans="1:12" ht="15" thickBot="1" x14ac:dyDescent="0.4">
      <c r="B3" s="10"/>
      <c r="C3" s="10"/>
      <c r="D3" s="10"/>
      <c r="E3" s="10"/>
    </row>
    <row r="4" spans="1:12" ht="15" thickBot="1" x14ac:dyDescent="0.4">
      <c r="A4" s="22" t="s">
        <v>51</v>
      </c>
      <c r="B4" s="25" t="s">
        <v>5</v>
      </c>
      <c r="C4" s="25" t="s">
        <v>6</v>
      </c>
      <c r="D4" s="25" t="s">
        <v>7</v>
      </c>
      <c r="E4" s="25" t="s">
        <v>8</v>
      </c>
      <c r="H4" s="122" t="s">
        <v>100</v>
      </c>
      <c r="I4" s="122"/>
      <c r="J4" s="122"/>
      <c r="K4" s="122"/>
      <c r="L4" s="122"/>
    </row>
    <row r="5" spans="1:12" x14ac:dyDescent="0.35">
      <c r="A5" s="20">
        <v>1</v>
      </c>
      <c r="B5" s="83">
        <v>-5.8381654204227482</v>
      </c>
      <c r="C5" s="83">
        <v>-2.3809737980936743</v>
      </c>
      <c r="D5" s="83">
        <v>-3.1440873734725292</v>
      </c>
      <c r="E5" s="83">
        <v>-9.3307635749884099E-4</v>
      </c>
      <c r="F5" s="83"/>
      <c r="G5" s="26"/>
      <c r="H5" s="22"/>
      <c r="I5" s="22" t="s">
        <v>5</v>
      </c>
      <c r="J5" s="22" t="s">
        <v>6</v>
      </c>
      <c r="K5" s="22" t="s">
        <v>7</v>
      </c>
      <c r="L5" s="57" t="s">
        <v>8</v>
      </c>
    </row>
    <row r="6" spans="1:12" x14ac:dyDescent="0.35">
      <c r="A6" s="20">
        <v>2</v>
      </c>
      <c r="B6" s="83">
        <v>-2.2949628521465222</v>
      </c>
      <c r="C6" s="83">
        <v>9.5985154106859447</v>
      </c>
      <c r="D6" s="83">
        <v>0.16708392604282585</v>
      </c>
      <c r="E6" s="83">
        <v>0.94357421966075883</v>
      </c>
      <c r="F6" s="83"/>
      <c r="G6" s="26"/>
      <c r="H6" s="20" t="s">
        <v>5</v>
      </c>
      <c r="I6" s="83">
        <v>1</v>
      </c>
      <c r="J6" s="83">
        <v>-3.1405231098147357E-2</v>
      </c>
      <c r="K6" s="83">
        <v>0.29736377923356017</v>
      </c>
      <c r="L6" s="88">
        <v>8.1133874799197842E-2</v>
      </c>
    </row>
    <row r="7" spans="1:12" x14ac:dyDescent="0.35">
      <c r="A7" s="20">
        <v>3</v>
      </c>
      <c r="B7" s="83">
        <v>8.3623216535704223</v>
      </c>
      <c r="C7" s="83">
        <v>8.6953287712499066</v>
      </c>
      <c r="D7" s="83">
        <v>7.8870787476558926</v>
      </c>
      <c r="E7" s="83">
        <v>-1.7260022099960546</v>
      </c>
      <c r="F7" s="83"/>
      <c r="G7" s="26"/>
      <c r="H7" s="20" t="s">
        <v>6</v>
      </c>
      <c r="I7" s="83">
        <v>-3.1405231098147357E-2</v>
      </c>
      <c r="J7" s="83">
        <v>1</v>
      </c>
      <c r="K7" s="83">
        <v>-7.845337460837809E-2</v>
      </c>
      <c r="L7" s="83">
        <v>-0.11283969044864148</v>
      </c>
    </row>
    <row r="8" spans="1:12" x14ac:dyDescent="0.35">
      <c r="A8" s="20">
        <v>4</v>
      </c>
      <c r="B8" s="83">
        <v>-2.5263421730251867E-2</v>
      </c>
      <c r="C8" s="83">
        <v>-2.5798436741741297</v>
      </c>
      <c r="D8" s="83">
        <v>1.9473509845391348</v>
      </c>
      <c r="E8" s="83">
        <v>2.4061336256035681</v>
      </c>
      <c r="F8" s="83"/>
      <c r="G8" s="26"/>
      <c r="H8" s="20" t="s">
        <v>7</v>
      </c>
      <c r="I8" s="83">
        <v>0.29736377923356017</v>
      </c>
      <c r="J8" s="83">
        <v>-7.845337460837809E-2</v>
      </c>
      <c r="K8" s="83">
        <v>1</v>
      </c>
      <c r="L8" s="83">
        <v>-2.6380264522350684E-2</v>
      </c>
    </row>
    <row r="9" spans="1:12" ht="15" thickBot="1" x14ac:dyDescent="0.4">
      <c r="A9" s="20">
        <v>5</v>
      </c>
      <c r="B9" s="83">
        <v>-1.4901356698985766</v>
      </c>
      <c r="C9" s="83">
        <v>3.4350529542925736</v>
      </c>
      <c r="D9" s="83">
        <v>5.7943305405196242</v>
      </c>
      <c r="E9" s="83">
        <v>2.3351994621601757</v>
      </c>
      <c r="F9" s="83"/>
      <c r="G9" s="26"/>
      <c r="H9" s="21" t="s">
        <v>8</v>
      </c>
      <c r="I9" s="87">
        <v>8.1133874799197842E-2</v>
      </c>
      <c r="J9" s="87">
        <v>-0.11283969044864148</v>
      </c>
      <c r="K9" s="87">
        <v>-2.6380264522350684E-2</v>
      </c>
      <c r="L9" s="87">
        <v>1</v>
      </c>
    </row>
    <row r="10" spans="1:12" x14ac:dyDescent="0.35">
      <c r="A10" s="20">
        <v>6</v>
      </c>
      <c r="B10" s="83">
        <v>-0.4764673071935473</v>
      </c>
      <c r="C10" s="83">
        <v>-0.34281016836398748</v>
      </c>
      <c r="D10" s="83">
        <v>-0.325640559765913</v>
      </c>
      <c r="E10" s="83">
        <v>0.20803032897846141</v>
      </c>
      <c r="F10" s="83"/>
      <c r="G10" s="26"/>
    </row>
    <row r="11" spans="1:12" x14ac:dyDescent="0.35">
      <c r="A11" s="20">
        <v>7</v>
      </c>
      <c r="B11" s="83">
        <v>-3.6777207680404205</v>
      </c>
      <c r="C11" s="83">
        <v>-0.19295313883573084</v>
      </c>
      <c r="D11" s="83">
        <v>-4.1536833741535233</v>
      </c>
      <c r="E11" s="83">
        <v>-3.5757803200026954</v>
      </c>
      <c r="F11" s="83"/>
      <c r="G11" s="26"/>
    </row>
    <row r="12" spans="1:12" x14ac:dyDescent="0.35">
      <c r="A12" s="20">
        <v>8</v>
      </c>
      <c r="B12" s="83">
        <v>-1.7028459442135713</v>
      </c>
      <c r="C12" s="83">
        <v>-1.0672561872289876E-2</v>
      </c>
      <c r="D12" s="83">
        <v>0.16026542082736905</v>
      </c>
      <c r="E12" s="83">
        <v>0.5959327187371074</v>
      </c>
      <c r="F12" s="83"/>
      <c r="G12" s="26"/>
    </row>
    <row r="13" spans="1:12" x14ac:dyDescent="0.35">
      <c r="A13" s="20">
        <v>9</v>
      </c>
      <c r="B13" s="83">
        <v>-0.12416346926006425</v>
      </c>
      <c r="C13" s="83">
        <v>-3.1877565580974565</v>
      </c>
      <c r="D13" s="83">
        <v>-5.038386097239707</v>
      </c>
      <c r="E13" s="83">
        <v>2.0952777117669825</v>
      </c>
      <c r="F13" s="83"/>
      <c r="G13" s="26"/>
    </row>
    <row r="14" spans="1:12" x14ac:dyDescent="0.35">
      <c r="A14" s="20">
        <v>10</v>
      </c>
      <c r="B14" s="83">
        <v>1.0423160295527576</v>
      </c>
      <c r="C14" s="83">
        <v>-1.0631249723953911</v>
      </c>
      <c r="D14" s="83">
        <v>-1.0643370398829117</v>
      </c>
      <c r="E14" s="83">
        <v>-1.2456303470859393</v>
      </c>
      <c r="F14" s="83"/>
      <c r="G14" s="26"/>
    </row>
    <row r="15" spans="1:12" x14ac:dyDescent="0.35">
      <c r="A15" s="20">
        <v>11</v>
      </c>
      <c r="B15" s="83">
        <v>2.0975433839203705</v>
      </c>
      <c r="C15" s="83">
        <v>-1.7090954357391399</v>
      </c>
      <c r="D15" s="83">
        <v>2.8900338419980294</v>
      </c>
      <c r="E15" s="83">
        <v>2.1836759527113849</v>
      </c>
      <c r="F15" s="83"/>
      <c r="G15" s="26"/>
    </row>
    <row r="16" spans="1:12" x14ac:dyDescent="0.35">
      <c r="A16" s="20">
        <v>12</v>
      </c>
      <c r="B16" s="83">
        <v>-2.8866503469162672</v>
      </c>
      <c r="C16" s="83">
        <v>2.3251054320318798</v>
      </c>
      <c r="D16" s="83">
        <v>1.9743612887277053</v>
      </c>
      <c r="E16" s="83">
        <v>-3.7819618812249929</v>
      </c>
      <c r="F16" s="83"/>
      <c r="G16" s="26"/>
    </row>
    <row r="17" spans="1:7" x14ac:dyDescent="0.35">
      <c r="A17" s="20">
        <v>13</v>
      </c>
      <c r="B17" s="83">
        <v>0.86630948730838941</v>
      </c>
      <c r="C17" s="83">
        <v>1.9607219245575749</v>
      </c>
      <c r="D17" s="83">
        <v>-4.2020003292127628</v>
      </c>
      <c r="E17" s="83">
        <v>0.76480378068320909</v>
      </c>
      <c r="F17" s="83"/>
      <c r="G17" s="26"/>
    </row>
    <row r="18" spans="1:7" x14ac:dyDescent="0.35">
      <c r="A18" s="20">
        <v>14</v>
      </c>
      <c r="B18" s="83">
        <v>-2.1131606378411756</v>
      </c>
      <c r="C18" s="83">
        <v>1.0810059465766155</v>
      </c>
      <c r="D18" s="83">
        <v>-2.5046378329474823</v>
      </c>
      <c r="E18" s="83">
        <v>1.1245093941491224</v>
      </c>
      <c r="F18" s="83"/>
      <c r="G18" s="26"/>
    </row>
    <row r="19" spans="1:7" x14ac:dyDescent="0.35">
      <c r="A19" s="20">
        <v>15</v>
      </c>
      <c r="B19" s="83">
        <v>0.71659443073350648</v>
      </c>
      <c r="C19" s="83">
        <v>-1.085663717591244</v>
      </c>
      <c r="D19" s="83">
        <v>-1.4666093423000728</v>
      </c>
      <c r="E19" s="83">
        <v>1.6237367647618111</v>
      </c>
      <c r="F19" s="83"/>
      <c r="G19" s="26"/>
    </row>
    <row r="20" spans="1:7" x14ac:dyDescent="0.35">
      <c r="A20" s="20">
        <v>16</v>
      </c>
      <c r="B20" s="83">
        <v>-0.87210298571592548</v>
      </c>
      <c r="C20" s="83">
        <v>-2.7079746610433131</v>
      </c>
      <c r="D20" s="83">
        <v>-2.286315503854782</v>
      </c>
      <c r="E20" s="83">
        <v>6.4436477439312938</v>
      </c>
      <c r="F20" s="83"/>
      <c r="G20" s="26"/>
    </row>
    <row r="21" spans="1:7" x14ac:dyDescent="0.35">
      <c r="A21" s="20">
        <v>17</v>
      </c>
      <c r="B21" s="83">
        <v>7.8944833459185606</v>
      </c>
      <c r="C21" s="83">
        <v>0.40147422006978317</v>
      </c>
      <c r="D21" s="83">
        <v>2.0017866448463479</v>
      </c>
      <c r="E21" s="83">
        <v>0.81070471595741622</v>
      </c>
      <c r="F21" s="83"/>
      <c r="G21" s="26"/>
    </row>
    <row r="22" spans="1:7" x14ac:dyDescent="0.35">
      <c r="A22" s="20">
        <v>18</v>
      </c>
      <c r="B22" s="83">
        <v>0.65033259422266643</v>
      </c>
      <c r="C22" s="83">
        <v>0.47360362981682802</v>
      </c>
      <c r="D22" s="83">
        <v>3.9842381385451002</v>
      </c>
      <c r="E22" s="83">
        <v>2.5216873134231426</v>
      </c>
      <c r="F22" s="83"/>
      <c r="G22" s="26"/>
    </row>
    <row r="23" spans="1:7" x14ac:dyDescent="0.35">
      <c r="A23" s="20">
        <v>19</v>
      </c>
      <c r="B23" s="83">
        <v>9.2833001661076775</v>
      </c>
      <c r="C23" s="83">
        <v>1.3302340229440632</v>
      </c>
      <c r="D23" s="83">
        <v>3.454441767159298</v>
      </c>
      <c r="E23" s="83">
        <v>-0.1430896933886785</v>
      </c>
      <c r="F23" s="83"/>
      <c r="G23" s="26"/>
    </row>
    <row r="24" spans="1:7" x14ac:dyDescent="0.35">
      <c r="A24" s="20">
        <v>20</v>
      </c>
      <c r="B24" s="83">
        <v>1.5227347693448392</v>
      </c>
      <c r="C24" s="83">
        <v>1.8131539622671511</v>
      </c>
      <c r="D24" s="83">
        <v>-4.4394090542712163</v>
      </c>
      <c r="E24" s="83">
        <v>1.3389266023861368</v>
      </c>
      <c r="F24" s="83"/>
      <c r="G24" s="26"/>
    </row>
    <row r="25" spans="1:7" x14ac:dyDescent="0.35">
      <c r="A25" s="20">
        <v>21</v>
      </c>
      <c r="B25" s="83">
        <v>0.79193397607765559</v>
      </c>
      <c r="C25" s="83">
        <v>-0.1440206857549422</v>
      </c>
      <c r="D25" s="83">
        <v>2.1663515575729715</v>
      </c>
      <c r="E25" s="83">
        <v>0.87904606725439516</v>
      </c>
      <c r="F25" s="83"/>
      <c r="G25" s="26"/>
    </row>
    <row r="26" spans="1:7" x14ac:dyDescent="0.35">
      <c r="A26" s="20">
        <v>22</v>
      </c>
      <c r="B26" s="83">
        <v>2.8589347724146386</v>
      </c>
      <c r="C26" s="83">
        <v>-3.4081779895406354</v>
      </c>
      <c r="D26" s="83">
        <v>4.8100387092196328E-2</v>
      </c>
      <c r="E26" s="83">
        <v>-4.4742034357272784</v>
      </c>
      <c r="F26" s="83"/>
      <c r="G26" s="26"/>
    </row>
    <row r="27" spans="1:7" x14ac:dyDescent="0.35">
      <c r="A27" s="20">
        <v>23</v>
      </c>
      <c r="B27" s="83">
        <v>-1.9522688279609182</v>
      </c>
      <c r="C27" s="83">
        <v>-1.4815531227022301</v>
      </c>
      <c r="D27" s="83">
        <v>-0.51570207115047495</v>
      </c>
      <c r="E27" s="83">
        <v>0.68375857633553472</v>
      </c>
      <c r="F27" s="83"/>
      <c r="G27" s="26"/>
    </row>
    <row r="28" spans="1:7" x14ac:dyDescent="0.35">
      <c r="A28" s="20">
        <v>24</v>
      </c>
      <c r="B28" s="83">
        <v>-1.7859153138460777</v>
      </c>
      <c r="C28" s="83">
        <v>-3.0959690797672739</v>
      </c>
      <c r="D28" s="83">
        <v>-2.6819671328503705</v>
      </c>
      <c r="E28" s="83">
        <v>-0.42092218679413285</v>
      </c>
      <c r="F28" s="83"/>
      <c r="G28" s="26"/>
    </row>
    <row r="29" spans="1:7" x14ac:dyDescent="0.35">
      <c r="A29" s="20">
        <v>25</v>
      </c>
      <c r="B29" s="83">
        <v>-16.17756879342404</v>
      </c>
      <c r="C29" s="83">
        <v>0.61663677794926519</v>
      </c>
      <c r="D29" s="83">
        <v>-4.2808632505116417</v>
      </c>
      <c r="E29" s="83">
        <v>1.1296323018573253</v>
      </c>
      <c r="F29" s="83"/>
      <c r="G29" s="26"/>
    </row>
    <row r="30" spans="1:7" x14ac:dyDescent="0.35">
      <c r="A30" s="20">
        <v>26</v>
      </c>
      <c r="B30" s="83">
        <v>2.3910447850522436</v>
      </c>
      <c r="C30" s="83">
        <v>-1.3499786988498146</v>
      </c>
      <c r="D30" s="83">
        <v>0.69452317813581177</v>
      </c>
      <c r="E30" s="83">
        <v>1.3158386836859568</v>
      </c>
      <c r="F30" s="83"/>
      <c r="G30" s="26"/>
    </row>
    <row r="31" spans="1:7" x14ac:dyDescent="0.35">
      <c r="A31" s="20">
        <v>27</v>
      </c>
      <c r="B31" s="83">
        <v>3.9786143586018397</v>
      </c>
      <c r="C31" s="83">
        <v>1.8421975375448429</v>
      </c>
      <c r="D31" s="83">
        <v>1.3169360705002204</v>
      </c>
      <c r="E31" s="83">
        <v>0.95165389626813823</v>
      </c>
      <c r="F31" s="83"/>
      <c r="G31" s="26"/>
    </row>
    <row r="32" spans="1:7" x14ac:dyDescent="0.35">
      <c r="A32" s="20">
        <v>28</v>
      </c>
      <c r="B32" s="83">
        <v>-5.6122999987756605E-2</v>
      </c>
      <c r="C32" s="83">
        <v>2.3922005619416744</v>
      </c>
      <c r="D32" s="83">
        <v>0.3868370758303723</v>
      </c>
      <c r="E32" s="83">
        <v>3.4072992061391449</v>
      </c>
      <c r="F32" s="83"/>
      <c r="G32" s="26"/>
    </row>
    <row r="33" spans="1:7" x14ac:dyDescent="0.35">
      <c r="A33" s="20">
        <v>29</v>
      </c>
      <c r="B33" s="83">
        <v>4.0299306323647976E-2</v>
      </c>
      <c r="C33" s="83">
        <v>1.6243272221840583</v>
      </c>
      <c r="D33" s="83">
        <v>0.44469457110012617</v>
      </c>
      <c r="E33" s="83">
        <v>-1.0042441150873092</v>
      </c>
      <c r="F33" s="83"/>
      <c r="G33" s="26"/>
    </row>
    <row r="34" spans="1:7" x14ac:dyDescent="0.35">
      <c r="A34" s="20">
        <v>30</v>
      </c>
      <c r="B34" s="83">
        <v>-3.4481880923930524</v>
      </c>
      <c r="C34" s="83">
        <v>-2.2739372011278407</v>
      </c>
      <c r="D34" s="83">
        <v>-2.4198104842653141</v>
      </c>
      <c r="E34" s="83">
        <v>-0.51768670533388816</v>
      </c>
      <c r="F34" s="83"/>
      <c r="G34" s="26"/>
    </row>
    <row r="35" spans="1:7" x14ac:dyDescent="0.35">
      <c r="A35" s="20">
        <v>31</v>
      </c>
      <c r="B35" s="83">
        <v>-1.2897872621849085</v>
      </c>
      <c r="C35" s="83">
        <v>3.6133461132356568</v>
      </c>
      <c r="D35" s="83">
        <v>-5.2055278605376163</v>
      </c>
      <c r="E35" s="83">
        <v>-0.69998337551573386</v>
      </c>
      <c r="F35" s="83"/>
      <c r="G35" s="26"/>
    </row>
    <row r="36" spans="1:7" x14ac:dyDescent="0.35">
      <c r="A36" s="20">
        <v>32</v>
      </c>
      <c r="B36" s="83">
        <v>4.2296464220267147</v>
      </c>
      <c r="C36" s="83">
        <v>-2.2003743143019081</v>
      </c>
      <c r="D36" s="83">
        <v>1.7466071483842085</v>
      </c>
      <c r="E36" s="83">
        <v>0.85593245897286541</v>
      </c>
      <c r="F36" s="83"/>
      <c r="G36" s="26"/>
    </row>
    <row r="37" spans="1:7" x14ac:dyDescent="0.35">
      <c r="A37" s="20">
        <v>33</v>
      </c>
      <c r="B37" s="83">
        <v>-3.2797004899799962</v>
      </c>
      <c r="C37" s="83">
        <v>3.2301522974054064</v>
      </c>
      <c r="D37" s="83">
        <v>-1.7887288544487343</v>
      </c>
      <c r="E37" s="83">
        <v>-2.0850651550094232</v>
      </c>
      <c r="F37" s="83"/>
      <c r="G37" s="26"/>
    </row>
    <row r="38" spans="1:7" x14ac:dyDescent="0.35">
      <c r="A38" s="20">
        <v>34</v>
      </c>
      <c r="B38" s="83">
        <v>5.3239943807139838</v>
      </c>
      <c r="C38" s="83">
        <v>-1.1571973499314732</v>
      </c>
      <c r="D38" s="83">
        <v>6.3057291994977049</v>
      </c>
      <c r="E38" s="83">
        <v>1.9028562767193422</v>
      </c>
      <c r="F38" s="83"/>
      <c r="G38" s="26"/>
    </row>
    <row r="39" spans="1:7" x14ac:dyDescent="0.35">
      <c r="A39" s="20">
        <v>35</v>
      </c>
      <c r="B39" s="83">
        <v>-0.29391134694677712</v>
      </c>
      <c r="C39" s="83">
        <v>1.4994635721552543</v>
      </c>
      <c r="D39" s="83">
        <v>-2.3182449512180132</v>
      </c>
      <c r="E39" s="83">
        <v>-2.5558341555344786</v>
      </c>
      <c r="F39" s="83"/>
      <c r="G39" s="26"/>
    </row>
    <row r="40" spans="1:7" x14ac:dyDescent="0.35">
      <c r="A40" s="20">
        <v>36</v>
      </c>
      <c r="B40" s="83">
        <v>2.5346548903617578</v>
      </c>
      <c r="C40" s="83">
        <v>-3.6741386473065751</v>
      </c>
      <c r="D40" s="83">
        <v>2.6984522881936526</v>
      </c>
      <c r="E40" s="83">
        <v>-0.99662956611531306</v>
      </c>
      <c r="F40" s="83"/>
      <c r="G40" s="26"/>
    </row>
    <row r="41" spans="1:7" x14ac:dyDescent="0.35">
      <c r="A41" s="20">
        <v>37</v>
      </c>
      <c r="B41" s="83">
        <v>-5.282733911051066</v>
      </c>
      <c r="C41" s="83">
        <v>-3.0461191666029492</v>
      </c>
      <c r="D41" s="83">
        <v>-5.1787520454170313</v>
      </c>
      <c r="E41" s="83">
        <v>-0.9878619849863588</v>
      </c>
      <c r="F41" s="83"/>
      <c r="G41" s="26"/>
    </row>
    <row r="42" spans="1:7" x14ac:dyDescent="0.35">
      <c r="A42" s="20">
        <v>38</v>
      </c>
      <c r="B42" s="83">
        <v>-2.8541821651508865</v>
      </c>
      <c r="C42" s="83">
        <v>1.8897943755369688</v>
      </c>
      <c r="D42" s="83">
        <v>-2.1743621231396597</v>
      </c>
      <c r="E42" s="83">
        <v>2.2965465024137881</v>
      </c>
      <c r="F42" s="83"/>
      <c r="G42" s="26"/>
    </row>
    <row r="43" spans="1:7" x14ac:dyDescent="0.35">
      <c r="A43" s="20">
        <v>39</v>
      </c>
      <c r="B43" s="83">
        <v>-4.0440076605304114</v>
      </c>
      <c r="C43" s="83">
        <v>-1.9091192837769284</v>
      </c>
      <c r="D43" s="83">
        <v>-5.1841193409358768</v>
      </c>
      <c r="E43" s="83">
        <v>-3.9440843043301754E-2</v>
      </c>
      <c r="F43" s="83"/>
      <c r="G43" s="26"/>
    </row>
    <row r="44" spans="1:7" x14ac:dyDescent="0.35">
      <c r="A44" s="20">
        <v>40</v>
      </c>
      <c r="B44" s="83">
        <v>-1.1191878384753853</v>
      </c>
      <c r="C44" s="83">
        <v>-0.32791684466453375</v>
      </c>
      <c r="D44" s="83">
        <v>-1.9294384347852018</v>
      </c>
      <c r="E44" s="83">
        <v>3.1667411863395873</v>
      </c>
      <c r="F44" s="83"/>
      <c r="G44" s="26"/>
    </row>
    <row r="45" spans="1:7" x14ac:dyDescent="0.35">
      <c r="A45" s="20">
        <v>41</v>
      </c>
      <c r="B45" s="83">
        <v>1.7290348218139826</v>
      </c>
      <c r="C45" s="83">
        <v>-3.8056700443563862</v>
      </c>
      <c r="D45" s="83">
        <v>-4.2061784280522367</v>
      </c>
      <c r="E45" s="83">
        <v>1.2750664581437077</v>
      </c>
      <c r="F45" s="83"/>
      <c r="G45" s="26"/>
    </row>
    <row r="46" spans="1:7" x14ac:dyDescent="0.35">
      <c r="A46" s="20">
        <v>42</v>
      </c>
      <c r="B46" s="83">
        <v>-5.5015862946412142</v>
      </c>
      <c r="C46" s="83">
        <v>-3.2889604005695121</v>
      </c>
      <c r="D46" s="83">
        <v>5.4923172514530254</v>
      </c>
      <c r="E46" s="83">
        <v>-3.3143469605972227</v>
      </c>
      <c r="F46" s="83"/>
      <c r="G46" s="26"/>
    </row>
    <row r="47" spans="1:7" x14ac:dyDescent="0.35">
      <c r="A47" s="20">
        <v>43</v>
      </c>
      <c r="B47" s="83">
        <v>0.74270067168413645</v>
      </c>
      <c r="C47" s="83">
        <v>-6.0566806258106389</v>
      </c>
      <c r="D47" s="83">
        <v>1.9311478219528393</v>
      </c>
      <c r="E47" s="83">
        <v>-1.3955473210049449</v>
      </c>
      <c r="F47" s="83"/>
      <c r="G47" s="26"/>
    </row>
    <row r="48" spans="1:7" x14ac:dyDescent="0.35">
      <c r="A48" s="20">
        <v>44</v>
      </c>
      <c r="B48" s="83">
        <v>-0.60198614052333599</v>
      </c>
      <c r="C48" s="83">
        <v>6.2433618930895376</v>
      </c>
      <c r="D48" s="83">
        <v>-10.611929201867492</v>
      </c>
      <c r="E48" s="83">
        <v>1.3913155515595736</v>
      </c>
      <c r="F48" s="83"/>
      <c r="G48" s="26"/>
    </row>
    <row r="49" spans="1:7" x14ac:dyDescent="0.35">
      <c r="A49" s="20">
        <v>45</v>
      </c>
      <c r="B49" s="83">
        <v>-3.3460869256630135</v>
      </c>
      <c r="C49" s="83">
        <v>-6.5666472715236246</v>
      </c>
      <c r="D49" s="83">
        <v>3.3885171483541372</v>
      </c>
      <c r="E49" s="83">
        <v>4.3122608872664898</v>
      </c>
      <c r="F49" s="83"/>
      <c r="G49" s="26"/>
    </row>
    <row r="50" spans="1:7" x14ac:dyDescent="0.35">
      <c r="A50" s="20">
        <v>46</v>
      </c>
      <c r="B50" s="83">
        <v>0.54457809453843575</v>
      </c>
      <c r="C50" s="83">
        <v>-4.1276816365254199</v>
      </c>
      <c r="D50" s="83">
        <v>-2.2973576355223355</v>
      </c>
      <c r="E50" s="83">
        <v>0.98592276202364149</v>
      </c>
      <c r="F50" s="83"/>
      <c r="G50" s="26"/>
    </row>
    <row r="51" spans="1:7" x14ac:dyDescent="0.35">
      <c r="A51" s="20">
        <v>47</v>
      </c>
      <c r="B51" s="83">
        <v>-1.0549896276705448</v>
      </c>
      <c r="C51" s="83">
        <v>-1.6129326792050982</v>
      </c>
      <c r="D51" s="83">
        <v>-1.1684905874914939</v>
      </c>
      <c r="E51" s="83">
        <v>-2.8977915718262697</v>
      </c>
      <c r="F51" s="83"/>
      <c r="G51" s="26"/>
    </row>
    <row r="52" spans="1:7" x14ac:dyDescent="0.35">
      <c r="A52" s="20">
        <v>48</v>
      </c>
      <c r="B52" s="83">
        <v>2.4480029298025165</v>
      </c>
      <c r="C52" s="83">
        <v>-1.0760004723473215</v>
      </c>
      <c r="D52" s="83">
        <v>-0.91807395435133765</v>
      </c>
      <c r="E52" s="83">
        <v>-0.35591977491558535</v>
      </c>
      <c r="F52" s="83"/>
      <c r="G52" s="26"/>
    </row>
    <row r="53" spans="1:7" x14ac:dyDescent="0.35">
      <c r="A53" s="20">
        <v>49</v>
      </c>
      <c r="B53" s="83">
        <v>-0.5278367485026112</v>
      </c>
      <c r="C53" s="83">
        <v>2.6788390886864653</v>
      </c>
      <c r="D53" s="83">
        <v>6.3338600373573026</v>
      </c>
      <c r="E53" s="83">
        <v>-1.4402152494727556</v>
      </c>
      <c r="F53" s="83"/>
      <c r="G53" s="26"/>
    </row>
    <row r="54" spans="1:7" x14ac:dyDescent="0.35">
      <c r="A54" s="20">
        <v>50</v>
      </c>
      <c r="B54" s="83">
        <v>3.86649394097899</v>
      </c>
      <c r="C54" s="83">
        <v>-0.83791296070850918</v>
      </c>
      <c r="D54" s="83">
        <v>1.9333310368599967</v>
      </c>
      <c r="E54" s="83">
        <v>3.6199656670028273</v>
      </c>
      <c r="F54" s="83"/>
      <c r="G54" s="26"/>
    </row>
    <row r="55" spans="1:7" x14ac:dyDescent="0.35">
      <c r="A55" s="20">
        <v>51</v>
      </c>
      <c r="B55" s="83">
        <v>4.5319319695777205</v>
      </c>
      <c r="C55" s="83">
        <v>0.44619200674877701</v>
      </c>
      <c r="D55" s="83">
        <v>3.3291972045780183</v>
      </c>
      <c r="E55" s="83">
        <v>-0.59231887533594563</v>
      </c>
      <c r="F55" s="83"/>
      <c r="G55" s="26"/>
    </row>
    <row r="56" spans="1:7" x14ac:dyDescent="0.35">
      <c r="A56" s="20">
        <v>52</v>
      </c>
      <c r="B56" s="83">
        <v>-2.8019207662886711</v>
      </c>
      <c r="C56" s="83">
        <v>-2.2413261920170027</v>
      </c>
      <c r="D56" s="83">
        <v>-2.0022297408151966</v>
      </c>
      <c r="E56" s="83">
        <v>-0.4697573266364955</v>
      </c>
      <c r="F56" s="83"/>
      <c r="G56" s="26"/>
    </row>
    <row r="57" spans="1:7" x14ac:dyDescent="0.35">
      <c r="A57" s="20">
        <v>53</v>
      </c>
      <c r="B57" s="83">
        <v>0.57029234408589324</v>
      </c>
      <c r="C57" s="83">
        <v>-1.0719155148019133</v>
      </c>
      <c r="D57" s="83">
        <v>-1.4088142745588705</v>
      </c>
      <c r="E57" s="83">
        <v>7.426551230354328E-2</v>
      </c>
      <c r="F57" s="83"/>
      <c r="G57" s="26"/>
    </row>
    <row r="58" spans="1:7" x14ac:dyDescent="0.35">
      <c r="A58" s="20">
        <v>54</v>
      </c>
      <c r="B58" s="83">
        <v>-2.0559465495778655</v>
      </c>
      <c r="C58" s="83">
        <v>-1.8974546573748379</v>
      </c>
      <c r="D58" s="83">
        <v>1.0232870583603351</v>
      </c>
      <c r="E58" s="83">
        <v>0.15261347418085069</v>
      </c>
      <c r="F58" s="83"/>
      <c r="G58" s="26"/>
    </row>
    <row r="59" spans="1:7" x14ac:dyDescent="0.35">
      <c r="A59" s="20">
        <v>55</v>
      </c>
      <c r="B59" s="83">
        <v>0.9981755075595049</v>
      </c>
      <c r="C59" s="83">
        <v>5.3218856912269965</v>
      </c>
      <c r="D59" s="83">
        <v>-3.3798073346378681</v>
      </c>
      <c r="E59" s="83">
        <v>0.3282917669585288</v>
      </c>
      <c r="F59" s="83"/>
      <c r="G59" s="26"/>
    </row>
    <row r="60" spans="1:7" x14ac:dyDescent="0.35">
      <c r="A60" s="20">
        <v>56</v>
      </c>
      <c r="B60" s="83">
        <v>-6.6196582816820282E-2</v>
      </c>
      <c r="C60" s="83">
        <v>8.439612170248866</v>
      </c>
      <c r="D60" s="83">
        <v>-7.0271345800413538</v>
      </c>
      <c r="E60" s="83">
        <v>-2.8675705075239017</v>
      </c>
      <c r="F60" s="83"/>
      <c r="G60" s="26"/>
    </row>
    <row r="61" spans="1:7" x14ac:dyDescent="0.35">
      <c r="A61" s="20">
        <v>57</v>
      </c>
      <c r="B61" s="83">
        <v>4.5523653250305172</v>
      </c>
      <c r="C61" s="83">
        <v>-0.86474154014792615</v>
      </c>
      <c r="D61" s="83">
        <v>1.7685101879722493</v>
      </c>
      <c r="E61" s="83">
        <v>-1.9720861097532274</v>
      </c>
      <c r="F61" s="83"/>
      <c r="G61" s="26"/>
    </row>
    <row r="62" spans="1:7" x14ac:dyDescent="0.35">
      <c r="A62" s="20">
        <v>58</v>
      </c>
      <c r="B62" s="83">
        <v>-0.43331544050322135</v>
      </c>
      <c r="C62" s="83">
        <v>-6.7107641629064574E-2</v>
      </c>
      <c r="D62" s="83">
        <v>-0.62344853748031803</v>
      </c>
      <c r="E62" s="83">
        <v>2.1282361599112671</v>
      </c>
      <c r="F62" s="83"/>
      <c r="G62" s="26"/>
    </row>
    <row r="63" spans="1:7" x14ac:dyDescent="0.35">
      <c r="A63" s="20">
        <v>59</v>
      </c>
      <c r="B63" s="83">
        <v>0.41282475453850553</v>
      </c>
      <c r="C63" s="83">
        <v>-1.7206438774093247</v>
      </c>
      <c r="D63" s="83">
        <v>-0.58313884712568753</v>
      </c>
      <c r="E63" s="83">
        <v>0.53090710316612988</v>
      </c>
      <c r="F63" s="83"/>
      <c r="G63" s="26"/>
    </row>
    <row r="64" spans="1:7" x14ac:dyDescent="0.35">
      <c r="A64" s="20">
        <v>60</v>
      </c>
      <c r="B64" s="83">
        <v>-11.856489851242671</v>
      </c>
      <c r="C64" s="83">
        <v>-2.6121178970304277</v>
      </c>
      <c r="D64" s="83">
        <v>-4.0277562466326211</v>
      </c>
      <c r="E64" s="83">
        <v>1.6671425222670777</v>
      </c>
      <c r="F64" s="83"/>
      <c r="G64" s="26"/>
    </row>
    <row r="65" spans="1:7" x14ac:dyDescent="0.35">
      <c r="A65" s="20">
        <v>61</v>
      </c>
      <c r="B65" s="83">
        <v>1.0240399674737293</v>
      </c>
      <c r="C65" s="83">
        <v>-1.223275391644169</v>
      </c>
      <c r="D65" s="83">
        <v>6.0066827894226122</v>
      </c>
      <c r="E65" s="83">
        <v>3.6621842507793474</v>
      </c>
      <c r="F65" s="83"/>
      <c r="G65" s="26"/>
    </row>
    <row r="66" spans="1:7" x14ac:dyDescent="0.35">
      <c r="A66" s="20">
        <v>62</v>
      </c>
      <c r="B66" s="83">
        <v>-7.7788444885942027</v>
      </c>
      <c r="C66" s="83">
        <v>2.5732958312050895</v>
      </c>
      <c r="D66" s="83">
        <v>-10.103072942136672</v>
      </c>
      <c r="E66" s="83">
        <v>-0.99607390441857246</v>
      </c>
      <c r="F66" s="83"/>
      <c r="G66" s="26"/>
    </row>
    <row r="67" spans="1:7" x14ac:dyDescent="0.35">
      <c r="A67" s="20">
        <v>63</v>
      </c>
      <c r="B67" s="83">
        <v>-3.7697811934371467E-2</v>
      </c>
      <c r="C67" s="83">
        <v>2.4787589346069154</v>
      </c>
      <c r="D67" s="83">
        <v>-1.0591147763941984</v>
      </c>
      <c r="E67" s="83">
        <v>-2.3633105265960261</v>
      </c>
      <c r="F67" s="83"/>
      <c r="G67" s="26"/>
    </row>
    <row r="68" spans="1:7" x14ac:dyDescent="0.35">
      <c r="A68" s="20">
        <v>64</v>
      </c>
      <c r="B68" s="83">
        <v>1.6457565518681028</v>
      </c>
      <c r="C68" s="83">
        <v>0.24861072788015903</v>
      </c>
      <c r="D68" s="83">
        <v>2.4524388580757206</v>
      </c>
      <c r="E68" s="83">
        <v>4.6856690031719932</v>
      </c>
      <c r="F68" s="83"/>
      <c r="G68" s="26"/>
    </row>
    <row r="69" spans="1:7" x14ac:dyDescent="0.35">
      <c r="A69" s="20">
        <v>65</v>
      </c>
      <c r="B69" s="83">
        <v>3.3549303045931329</v>
      </c>
      <c r="C69" s="83">
        <v>3.2370811804712294</v>
      </c>
      <c r="D69" s="83">
        <v>-1.5016694665517916</v>
      </c>
      <c r="E69" s="83">
        <v>-1.1410293380255343</v>
      </c>
      <c r="F69" s="83"/>
      <c r="G69" s="26"/>
    </row>
    <row r="70" spans="1:7" x14ac:dyDescent="0.35">
      <c r="A70" s="20">
        <v>66</v>
      </c>
      <c r="B70" s="83">
        <v>1.3533600203749654</v>
      </c>
      <c r="C70" s="83">
        <v>-4.6174022262699292</v>
      </c>
      <c r="D70" s="83">
        <v>2.4867015502527314</v>
      </c>
      <c r="E70" s="83">
        <v>4.184225001031578</v>
      </c>
      <c r="F70" s="83"/>
      <c r="G70" s="26"/>
    </row>
    <row r="71" spans="1:7" x14ac:dyDescent="0.35">
      <c r="A71" s="20">
        <v>67</v>
      </c>
      <c r="B71" s="83">
        <v>1.4891377307362008</v>
      </c>
      <c r="C71" s="83">
        <v>1.1806681916770452</v>
      </c>
      <c r="D71" s="83">
        <v>-0.66633216810757023</v>
      </c>
      <c r="E71" s="83">
        <v>1.9384401986446491</v>
      </c>
      <c r="F71" s="83"/>
      <c r="G71" s="26"/>
    </row>
    <row r="72" spans="1:7" x14ac:dyDescent="0.35">
      <c r="A72" s="20">
        <v>68</v>
      </c>
      <c r="B72" s="83">
        <v>0.30077250509267661</v>
      </c>
      <c r="C72" s="83">
        <v>-3.7602059722143539</v>
      </c>
      <c r="D72" s="83">
        <v>-0.60768088321562086</v>
      </c>
      <c r="E72" s="83">
        <v>-1.6256974372450841</v>
      </c>
      <c r="F72" s="83"/>
      <c r="G72" s="26"/>
    </row>
    <row r="73" spans="1:7" x14ac:dyDescent="0.35">
      <c r="A73" s="20">
        <v>69</v>
      </c>
      <c r="B73" s="83">
        <v>-1.4282848453443291</v>
      </c>
      <c r="C73" s="83">
        <v>0.83850715761166683</v>
      </c>
      <c r="D73" s="83">
        <v>-0.36425540335671425</v>
      </c>
      <c r="E73" s="83">
        <v>3.4801937744249143</v>
      </c>
      <c r="F73" s="83"/>
      <c r="G73" s="26"/>
    </row>
    <row r="74" spans="1:7" x14ac:dyDescent="0.35">
      <c r="A74" s="20">
        <v>70</v>
      </c>
      <c r="B74" s="83">
        <v>4.580566621345814</v>
      </c>
      <c r="C74" s="83">
        <v>2.9926653544762569</v>
      </c>
      <c r="D74" s="83">
        <v>-4.5240366547934165</v>
      </c>
      <c r="E74" s="83">
        <v>0.60017515537108168</v>
      </c>
      <c r="F74" s="83"/>
      <c r="G74" s="26"/>
    </row>
    <row r="75" spans="1:7" x14ac:dyDescent="0.35">
      <c r="A75" s="20">
        <v>71</v>
      </c>
      <c r="B75" s="83">
        <v>-27.021918029268704</v>
      </c>
      <c r="C75" s="83">
        <v>4.5895587253568815</v>
      </c>
      <c r="D75" s="83">
        <v>3.2737364485223472</v>
      </c>
      <c r="E75" s="83">
        <v>-2.5841682524394844</v>
      </c>
      <c r="F75" s="83"/>
      <c r="G75" s="26"/>
    </row>
    <row r="76" spans="1:7" x14ac:dyDescent="0.35">
      <c r="A76" s="20">
        <v>72</v>
      </c>
      <c r="B76" s="83">
        <v>1.3210220290472479</v>
      </c>
      <c r="C76" s="83">
        <v>0.10283739228112543</v>
      </c>
      <c r="D76" s="83">
        <v>9.1480804771650153</v>
      </c>
      <c r="E76" s="83">
        <v>-4.3180280312483719</v>
      </c>
      <c r="F76" s="83"/>
      <c r="G76" s="26"/>
    </row>
    <row r="77" spans="1:7" x14ac:dyDescent="0.35">
      <c r="A77" s="20">
        <v>73</v>
      </c>
      <c r="B77" s="83">
        <v>-4.0280768476886344</v>
      </c>
      <c r="C77" s="83">
        <v>4.3125348173725939</v>
      </c>
      <c r="D77" s="83">
        <v>-0.71100340056094424</v>
      </c>
      <c r="E77" s="83">
        <v>-3.7045103093915563</v>
      </c>
      <c r="F77" s="83"/>
      <c r="G77" s="26"/>
    </row>
    <row r="78" spans="1:7" x14ac:dyDescent="0.35">
      <c r="A78" s="20">
        <v>74</v>
      </c>
      <c r="B78" s="83">
        <v>0.55670246697111425</v>
      </c>
      <c r="C78" s="83">
        <v>1.7745835370934839</v>
      </c>
      <c r="D78" s="83">
        <v>2.9835008626059634</v>
      </c>
      <c r="E78" s="83">
        <v>-2.2083167594840436</v>
      </c>
      <c r="F78" s="83"/>
      <c r="G78" s="26"/>
    </row>
    <row r="79" spans="1:7" x14ac:dyDescent="0.35">
      <c r="A79" s="20">
        <v>75</v>
      </c>
      <c r="B79" s="83">
        <v>-0.13286806921541505</v>
      </c>
      <c r="C79" s="83">
        <v>2.2782988684865839</v>
      </c>
      <c r="D79" s="83">
        <v>0.90239539601347318</v>
      </c>
      <c r="E79" s="83">
        <v>-2.1224163475509248</v>
      </c>
      <c r="F79" s="83"/>
      <c r="G79" s="26"/>
    </row>
    <row r="80" spans="1:7" x14ac:dyDescent="0.35">
      <c r="A80" s="20">
        <v>76</v>
      </c>
      <c r="B80" s="83">
        <v>4.538919359760861</v>
      </c>
      <c r="C80" s="83">
        <v>-1.2372789573069134</v>
      </c>
      <c r="D80" s="83">
        <v>3.87142155104514</v>
      </c>
      <c r="E80" s="83">
        <v>3.5669685694568534</v>
      </c>
      <c r="F80" s="83"/>
      <c r="G80" s="26"/>
    </row>
    <row r="81" spans="1:7" x14ac:dyDescent="0.35">
      <c r="A81" s="20">
        <v>77</v>
      </c>
      <c r="B81" s="83">
        <v>9.5634380282260539E-2</v>
      </c>
      <c r="C81" s="83">
        <v>0.4016443761846793</v>
      </c>
      <c r="D81" s="83">
        <v>0.22374320899092115</v>
      </c>
      <c r="E81" s="83">
        <v>-0.41673196109962918</v>
      </c>
      <c r="F81" s="83"/>
      <c r="G81" s="26"/>
    </row>
    <row r="82" spans="1:7" x14ac:dyDescent="0.35">
      <c r="A82" s="20">
        <v>78</v>
      </c>
      <c r="B82" s="83">
        <v>-1.9681207725272025</v>
      </c>
      <c r="C82" s="83">
        <v>0.29575657236847419</v>
      </c>
      <c r="D82" s="83">
        <v>-3.0789653010194891</v>
      </c>
      <c r="E82" s="83">
        <v>-3.1143240197616668</v>
      </c>
      <c r="F82" s="83"/>
      <c r="G82" s="26"/>
    </row>
    <row r="83" spans="1:7" x14ac:dyDescent="0.35">
      <c r="A83" s="20">
        <v>79</v>
      </c>
      <c r="B83" s="83">
        <v>0.55531578758478251</v>
      </c>
      <c r="C83" s="83">
        <v>0.96638969724386359</v>
      </c>
      <c r="D83" s="83">
        <v>-0.52790812216322736</v>
      </c>
      <c r="E83" s="83">
        <v>2.5281084670215481</v>
      </c>
      <c r="F83" s="83"/>
      <c r="G83" s="26"/>
    </row>
    <row r="84" spans="1:7" x14ac:dyDescent="0.35">
      <c r="A84" s="20">
        <v>80</v>
      </c>
      <c r="B84" s="83">
        <v>1.4840188736787334</v>
      </c>
      <c r="C84" s="83">
        <v>-0.9977862992464086</v>
      </c>
      <c r="D84" s="83">
        <v>-0.11788697040178697</v>
      </c>
      <c r="E84" s="83">
        <v>-1.5220765546170156</v>
      </c>
      <c r="F84" s="83"/>
      <c r="G84" s="26"/>
    </row>
    <row r="85" spans="1:7" x14ac:dyDescent="0.35">
      <c r="A85" s="20">
        <v>81</v>
      </c>
      <c r="B85" s="83">
        <v>-2.3327205598526124</v>
      </c>
      <c r="C85" s="83">
        <v>-0.6369809987241799</v>
      </c>
      <c r="D85" s="83">
        <v>1.3051080355461331</v>
      </c>
      <c r="E85" s="83">
        <v>-2.7661735281876987E-2</v>
      </c>
      <c r="F85" s="83"/>
      <c r="G85" s="26"/>
    </row>
    <row r="86" spans="1:7" x14ac:dyDescent="0.35">
      <c r="A86" s="20">
        <v>82</v>
      </c>
      <c r="B86" s="83">
        <v>2.6008092679784856</v>
      </c>
      <c r="C86" s="83">
        <v>-0.85207216785089779</v>
      </c>
      <c r="D86" s="83">
        <v>1.6541902589549589</v>
      </c>
      <c r="E86" s="83">
        <v>0.16090410584376824</v>
      </c>
      <c r="F86" s="83"/>
      <c r="G86" s="26"/>
    </row>
    <row r="87" spans="1:7" x14ac:dyDescent="0.35">
      <c r="A87" s="20">
        <v>83</v>
      </c>
      <c r="B87" s="83">
        <v>-2.9770719483776795</v>
      </c>
      <c r="C87" s="83">
        <v>-1.2532398303860632</v>
      </c>
      <c r="D87" s="83">
        <v>-6.2450826957765564</v>
      </c>
      <c r="E87" s="83">
        <v>3.6309571434884593</v>
      </c>
      <c r="F87" s="83"/>
      <c r="G87" s="26"/>
    </row>
    <row r="88" spans="1:7" x14ac:dyDescent="0.35">
      <c r="A88" s="20">
        <v>84</v>
      </c>
      <c r="B88" s="83">
        <v>-6.5223385581991504</v>
      </c>
      <c r="C88" s="83">
        <v>1.9689727129692782</v>
      </c>
      <c r="D88" s="83">
        <v>1.9460366392683852</v>
      </c>
      <c r="E88" s="83">
        <v>-6.3631515327677075</v>
      </c>
      <c r="F88" s="83"/>
      <c r="G88" s="26"/>
    </row>
    <row r="89" spans="1:7" x14ac:dyDescent="0.35">
      <c r="A89" s="20">
        <v>85</v>
      </c>
      <c r="B89" s="83">
        <v>-0.20465113613079033</v>
      </c>
      <c r="C89" s="83">
        <v>-0.70796806888429586</v>
      </c>
      <c r="D89" s="83">
        <v>-1.908906899899131</v>
      </c>
      <c r="E89" s="83">
        <v>-0.26672837799146754</v>
      </c>
      <c r="F89" s="83"/>
      <c r="G89" s="26"/>
    </row>
    <row r="90" spans="1:7" x14ac:dyDescent="0.35">
      <c r="A90" s="20">
        <v>86</v>
      </c>
      <c r="B90" s="83">
        <v>1.0736490676732013</v>
      </c>
      <c r="C90" s="83">
        <v>-1.8006900259350325</v>
      </c>
      <c r="D90" s="83">
        <v>-4.7078382949230502E-2</v>
      </c>
      <c r="E90" s="83">
        <v>1.3571077770906363</v>
      </c>
      <c r="F90" s="83"/>
      <c r="G90" s="26"/>
    </row>
    <row r="91" spans="1:7" x14ac:dyDescent="0.35">
      <c r="A91" s="20">
        <v>87</v>
      </c>
      <c r="B91" s="83">
        <v>-4.7015893552792987</v>
      </c>
      <c r="C91" s="83">
        <v>0.76415349067108429</v>
      </c>
      <c r="D91" s="83">
        <v>-4.5303765649405623</v>
      </c>
      <c r="E91" s="83">
        <v>-2.789365909832739</v>
      </c>
      <c r="F91" s="83"/>
      <c r="G91" s="26"/>
    </row>
    <row r="92" spans="1:7" x14ac:dyDescent="0.35">
      <c r="A92" s="20">
        <v>88</v>
      </c>
      <c r="B92" s="83">
        <v>-7.5060805948628699</v>
      </c>
      <c r="C92" s="83">
        <v>4.3383736093202243</v>
      </c>
      <c r="D92" s="83">
        <v>-5.1886549107104543</v>
      </c>
      <c r="E92" s="83">
        <v>-0.40368306478691895</v>
      </c>
      <c r="F92" s="83"/>
      <c r="G92" s="26"/>
    </row>
    <row r="93" spans="1:7" x14ac:dyDescent="0.35">
      <c r="A93" s="20">
        <v>89</v>
      </c>
      <c r="B93" s="83">
        <v>10.886407263370442</v>
      </c>
      <c r="C93" s="83">
        <v>-1.0942298755047342</v>
      </c>
      <c r="D93" s="83">
        <v>5.0742088532186447</v>
      </c>
      <c r="E93" s="83">
        <v>-0.92452087377672898</v>
      </c>
      <c r="F93" s="83"/>
      <c r="G93" s="26"/>
    </row>
    <row r="94" spans="1:7" x14ac:dyDescent="0.35">
      <c r="A94" s="20">
        <v>90</v>
      </c>
      <c r="B94" s="83">
        <v>-0.27376726885403468</v>
      </c>
      <c r="C94" s="83">
        <v>3.6665069821913105</v>
      </c>
      <c r="D94" s="83">
        <v>0.4050431681434819</v>
      </c>
      <c r="E94" s="83">
        <v>-1.6697703273385063</v>
      </c>
      <c r="F94" s="83"/>
      <c r="G94" s="26"/>
    </row>
    <row r="95" spans="1:7" x14ac:dyDescent="0.35">
      <c r="A95" s="20">
        <v>91</v>
      </c>
      <c r="B95" s="83">
        <v>3.6326316644757406</v>
      </c>
      <c r="C95" s="83">
        <v>3.2184896172171178</v>
      </c>
      <c r="D95" s="83">
        <v>-1.2457827707383156</v>
      </c>
      <c r="E95" s="83">
        <v>0.79506363702096561</v>
      </c>
      <c r="F95" s="83"/>
      <c r="G95" s="26"/>
    </row>
    <row r="96" spans="1:7" x14ac:dyDescent="0.35">
      <c r="A96" s="20">
        <v>92</v>
      </c>
      <c r="B96" s="83">
        <v>0.61092671937645548</v>
      </c>
      <c r="C96" s="83">
        <v>-1.4320234729829084</v>
      </c>
      <c r="D96" s="83">
        <v>-1.4612408207979253</v>
      </c>
      <c r="E96" s="83">
        <v>0.87186511342996054</v>
      </c>
      <c r="F96" s="83"/>
      <c r="G96" s="26"/>
    </row>
    <row r="97" spans="1:7" x14ac:dyDescent="0.35">
      <c r="A97" s="20">
        <v>93</v>
      </c>
      <c r="B97" s="83">
        <v>3.10307448221088</v>
      </c>
      <c r="C97" s="83">
        <v>-2.5658821058596013</v>
      </c>
      <c r="D97" s="83">
        <v>5.0596444488449421</v>
      </c>
      <c r="E97" s="83">
        <v>-1.4713314388162813E-2</v>
      </c>
      <c r="F97" s="83"/>
      <c r="G97" s="26"/>
    </row>
    <row r="98" spans="1:7" x14ac:dyDescent="0.35">
      <c r="A98" s="20">
        <v>94</v>
      </c>
      <c r="B98" s="83">
        <v>-5.2183640346086548</v>
      </c>
      <c r="C98" s="83">
        <v>-2.3254042174914535</v>
      </c>
      <c r="D98" s="83">
        <v>-5.4614388251739934</v>
      </c>
      <c r="E98" s="83">
        <v>1.2269300781531025</v>
      </c>
      <c r="F98" s="83"/>
      <c r="G98" s="26"/>
    </row>
    <row r="99" spans="1:7" x14ac:dyDescent="0.35">
      <c r="A99" s="20">
        <v>95</v>
      </c>
      <c r="B99" s="83">
        <v>-0.88305189672344664</v>
      </c>
      <c r="C99" s="83">
        <v>1.6501580507734728</v>
      </c>
      <c r="D99" s="83">
        <v>-5.013759385940924</v>
      </c>
      <c r="E99" s="83">
        <v>2.9389400642429928</v>
      </c>
      <c r="F99" s="83"/>
      <c r="G99" s="26"/>
    </row>
    <row r="100" spans="1:7" x14ac:dyDescent="0.35">
      <c r="A100" s="20">
        <v>96</v>
      </c>
      <c r="B100" s="83">
        <v>11.583022378650593</v>
      </c>
      <c r="C100" s="83">
        <v>-2.5995719042345442</v>
      </c>
      <c r="D100" s="83">
        <v>-0.67053407354698891</v>
      </c>
      <c r="E100" s="83">
        <v>0.2812239872440343</v>
      </c>
      <c r="F100" s="83"/>
      <c r="G100" s="26"/>
    </row>
    <row r="101" spans="1:7" x14ac:dyDescent="0.35">
      <c r="A101" s="20">
        <v>97</v>
      </c>
      <c r="B101" s="83">
        <v>-0.69475378883984118</v>
      </c>
      <c r="C101" s="83">
        <v>0.27944555388153058</v>
      </c>
      <c r="D101" s="83">
        <v>-0.69803968605316968</v>
      </c>
      <c r="E101" s="83">
        <v>1.3696197152413925</v>
      </c>
      <c r="F101" s="83"/>
      <c r="G101" s="26"/>
    </row>
    <row r="102" spans="1:7" x14ac:dyDescent="0.35">
      <c r="A102" s="20">
        <v>98</v>
      </c>
      <c r="B102" s="83">
        <v>4.6345031015674376</v>
      </c>
      <c r="C102" s="83">
        <v>-3.1551073060666819</v>
      </c>
      <c r="D102" s="83">
        <v>8.5385076626016492</v>
      </c>
      <c r="E102" s="83">
        <v>2.4757122694033376</v>
      </c>
      <c r="F102" s="83"/>
      <c r="G102" s="26"/>
    </row>
    <row r="103" spans="1:7" x14ac:dyDescent="0.35">
      <c r="A103" s="20">
        <v>99</v>
      </c>
      <c r="B103" s="83">
        <v>1.064122776255451</v>
      </c>
      <c r="C103" s="83">
        <v>-0.85444770465971098</v>
      </c>
      <c r="D103" s="83">
        <v>1.0220852307731174</v>
      </c>
      <c r="E103" s="83">
        <v>0.23428268531019913</v>
      </c>
      <c r="F103" s="83"/>
      <c r="G103" s="26"/>
    </row>
    <row r="104" spans="1:7" x14ac:dyDescent="0.35">
      <c r="A104" s="20">
        <v>100</v>
      </c>
      <c r="B104" s="83">
        <v>1.5996088767050036</v>
      </c>
      <c r="C104" s="83">
        <v>-1.3435044778283656</v>
      </c>
      <c r="D104" s="83">
        <v>1.8534312864681219</v>
      </c>
      <c r="E104" s="83">
        <v>-1.279745900480167E-2</v>
      </c>
      <c r="F104" s="83"/>
      <c r="G104" s="26"/>
    </row>
    <row r="105" spans="1:7" x14ac:dyDescent="0.35">
      <c r="A105" s="20">
        <v>101</v>
      </c>
      <c r="B105" s="83">
        <v>-6.4807866809427921</v>
      </c>
      <c r="C105" s="83">
        <v>2.1357816044446603</v>
      </c>
      <c r="D105" s="83">
        <v>-4.8871989925477815</v>
      </c>
      <c r="E105" s="83">
        <v>-0.52503725776157051</v>
      </c>
      <c r="F105" s="83"/>
      <c r="G105" s="26"/>
    </row>
    <row r="106" spans="1:7" x14ac:dyDescent="0.35">
      <c r="A106" s="20">
        <v>102</v>
      </c>
      <c r="B106" s="83">
        <v>0.27416732426221646</v>
      </c>
      <c r="C106" s="83">
        <v>-0.47783291478621726</v>
      </c>
      <c r="D106" s="83">
        <v>-2.5500952491170885</v>
      </c>
      <c r="E106" s="83">
        <v>-1.2718843123928765</v>
      </c>
      <c r="F106" s="83"/>
      <c r="G106" s="26"/>
    </row>
    <row r="107" spans="1:7" x14ac:dyDescent="0.35">
      <c r="A107" s="20">
        <v>103</v>
      </c>
      <c r="B107" s="83">
        <v>5.3308337886751316</v>
      </c>
      <c r="C107" s="83">
        <v>-1.9085947026388039</v>
      </c>
      <c r="D107" s="83">
        <v>4.8116215316320359</v>
      </c>
      <c r="E107" s="83">
        <v>-1.0846549019896479</v>
      </c>
      <c r="F107" s="83"/>
      <c r="G107" s="26"/>
    </row>
    <row r="108" spans="1:7" x14ac:dyDescent="0.35">
      <c r="A108" s="20">
        <v>104</v>
      </c>
      <c r="B108" s="83">
        <v>9.8783585204522328</v>
      </c>
      <c r="C108" s="83">
        <v>0.52290088795500078</v>
      </c>
      <c r="D108" s="83">
        <v>-0.17449350557674009</v>
      </c>
      <c r="E108" s="83">
        <v>2.0403694225460653</v>
      </c>
      <c r="F108" s="83"/>
      <c r="G108" s="26"/>
    </row>
    <row r="109" spans="1:7" x14ac:dyDescent="0.35">
      <c r="A109" s="20">
        <v>105</v>
      </c>
      <c r="B109" s="83">
        <v>1.0294646131350518</v>
      </c>
      <c r="C109" s="83">
        <v>-3.1272268884630785</v>
      </c>
      <c r="D109" s="83">
        <v>4.4293295600034224</v>
      </c>
      <c r="E109" s="83">
        <v>2.669374093192963</v>
      </c>
      <c r="F109" s="83"/>
      <c r="G109" s="26"/>
    </row>
    <row r="110" spans="1:7" x14ac:dyDescent="0.35">
      <c r="A110" s="20">
        <v>106</v>
      </c>
      <c r="B110" s="83">
        <v>-1.9246968162691083</v>
      </c>
      <c r="C110" s="83">
        <v>2.3161301233686311</v>
      </c>
      <c r="D110" s="83">
        <v>2.3197445125424103</v>
      </c>
      <c r="E110" s="83">
        <v>0.2803918546735924</v>
      </c>
      <c r="F110" s="83"/>
      <c r="G110" s="26"/>
    </row>
    <row r="111" spans="1:7" x14ac:dyDescent="0.35">
      <c r="A111" s="20">
        <v>107</v>
      </c>
      <c r="B111" s="83">
        <v>-5.5674048921323127</v>
      </c>
      <c r="C111" s="83">
        <v>-4.6996585790479601</v>
      </c>
      <c r="D111" s="83">
        <v>-3.1801085721556959</v>
      </c>
      <c r="E111" s="83">
        <v>-0.28809670096643636</v>
      </c>
      <c r="F111" s="83"/>
      <c r="G111" s="26"/>
    </row>
    <row r="112" spans="1:7" x14ac:dyDescent="0.35">
      <c r="A112" s="20">
        <v>108</v>
      </c>
      <c r="B112" s="83">
        <v>-0.96256265864848278</v>
      </c>
      <c r="C112" s="83">
        <v>1.8734153863883276</v>
      </c>
      <c r="D112" s="83">
        <v>-1.7025331920129045</v>
      </c>
      <c r="E112" s="83">
        <v>-0.93337296654355695</v>
      </c>
      <c r="F112" s="83"/>
      <c r="G112" s="26"/>
    </row>
    <row r="113" spans="1:7" x14ac:dyDescent="0.35">
      <c r="A113" s="20">
        <v>109</v>
      </c>
      <c r="B113" s="83">
        <v>-3.7533825112256038</v>
      </c>
      <c r="C113" s="83">
        <v>1.0756660333185546</v>
      </c>
      <c r="D113" s="83">
        <v>-0.3976188437521504</v>
      </c>
      <c r="E113" s="83">
        <v>0.92177750804094627</v>
      </c>
      <c r="F113" s="83"/>
      <c r="G113" s="26"/>
    </row>
    <row r="114" spans="1:7" x14ac:dyDescent="0.35">
      <c r="A114" s="20">
        <v>110</v>
      </c>
      <c r="B114" s="83">
        <v>-0.28677186019373835</v>
      </c>
      <c r="C114" s="83">
        <v>-6.6505892531459398</v>
      </c>
      <c r="D114" s="83">
        <v>10.163238362352324</v>
      </c>
      <c r="E114" s="83">
        <v>1.0405380787411769</v>
      </c>
      <c r="F114" s="83"/>
      <c r="G114" s="26"/>
    </row>
    <row r="115" spans="1:7" x14ac:dyDescent="0.35">
      <c r="A115" s="20">
        <v>111</v>
      </c>
      <c r="B115" s="83">
        <v>-2.0794022939000802</v>
      </c>
      <c r="C115" s="83">
        <v>7.4887548229586551</v>
      </c>
      <c r="D115" s="83">
        <v>-2.6150947534745033</v>
      </c>
      <c r="E115" s="83">
        <v>-3.3619007300690451</v>
      </c>
      <c r="F115" s="83"/>
      <c r="G115" s="26"/>
    </row>
    <row r="116" spans="1:7" x14ac:dyDescent="0.35">
      <c r="A116" s="20">
        <v>112</v>
      </c>
      <c r="B116" s="83">
        <v>0.73908597026745637</v>
      </c>
      <c r="C116" s="83">
        <v>1.5435916225688786</v>
      </c>
      <c r="D116" s="83">
        <v>0.10057108524878267</v>
      </c>
      <c r="E116" s="83">
        <v>-9.4791804596995224</v>
      </c>
      <c r="F116" s="83"/>
      <c r="G116" s="26"/>
    </row>
    <row r="117" spans="1:7" x14ac:dyDescent="0.35">
      <c r="A117" s="20">
        <v>113</v>
      </c>
      <c r="B117" s="83">
        <v>-0.97263108657072284</v>
      </c>
      <c r="C117" s="83">
        <v>-2.2291531438013061</v>
      </c>
      <c r="D117" s="83">
        <v>1.6944464926991962</v>
      </c>
      <c r="E117" s="83">
        <v>-2.1058119095158014</v>
      </c>
      <c r="F117" s="83"/>
      <c r="G117" s="26"/>
    </row>
    <row r="118" spans="1:7" x14ac:dyDescent="0.35">
      <c r="A118" s="20">
        <v>114</v>
      </c>
      <c r="B118" s="83">
        <v>3.2597884000288042</v>
      </c>
      <c r="C118" s="83">
        <v>-2.204774196951949</v>
      </c>
      <c r="D118" s="83">
        <v>2.6226145615392928</v>
      </c>
      <c r="E118" s="83">
        <v>0.38816919969531272</v>
      </c>
      <c r="F118" s="83"/>
      <c r="G118" s="26"/>
    </row>
    <row r="119" spans="1:7" x14ac:dyDescent="0.35">
      <c r="A119" s="20">
        <v>115</v>
      </c>
      <c r="B119" s="83">
        <v>0.67199078171034254</v>
      </c>
      <c r="C119" s="83">
        <v>-0.65288469731915866</v>
      </c>
      <c r="D119" s="83">
        <v>1.1261760761659452</v>
      </c>
      <c r="E119" s="83">
        <v>0.29017687997999708</v>
      </c>
      <c r="F119" s="83"/>
      <c r="G119" s="26"/>
    </row>
    <row r="120" spans="1:7" x14ac:dyDescent="0.35">
      <c r="A120" s="20">
        <v>116</v>
      </c>
      <c r="B120" s="83">
        <v>-1.1015740291358935</v>
      </c>
      <c r="C120" s="83">
        <v>-0.51476760495921026</v>
      </c>
      <c r="D120" s="83">
        <v>-1.4515686619847854</v>
      </c>
      <c r="E120" s="83">
        <v>-1.3178970990446253</v>
      </c>
      <c r="F120" s="83"/>
      <c r="G120" s="26"/>
    </row>
    <row r="121" spans="1:7" x14ac:dyDescent="0.35">
      <c r="A121" s="20">
        <v>117</v>
      </c>
      <c r="B121" s="83">
        <v>-3.9558234568226682</v>
      </c>
      <c r="C121" s="83">
        <v>-1.9848800168098042</v>
      </c>
      <c r="D121" s="83">
        <v>-1.7145235367519147</v>
      </c>
      <c r="E121" s="83">
        <v>-0.26106351378460879</v>
      </c>
      <c r="F121" s="83"/>
      <c r="G121" s="26"/>
    </row>
    <row r="122" spans="1:7" x14ac:dyDescent="0.35">
      <c r="A122" s="20">
        <v>118</v>
      </c>
      <c r="B122" s="83">
        <v>-0.20939406772796321</v>
      </c>
      <c r="C122" s="83">
        <v>-1.2431318942827767</v>
      </c>
      <c r="D122" s="83">
        <v>2.2694845260787289</v>
      </c>
      <c r="E122" s="83">
        <v>0.91690470344124209</v>
      </c>
      <c r="F122" s="83"/>
      <c r="G122" s="26"/>
    </row>
    <row r="123" spans="1:7" x14ac:dyDescent="0.35">
      <c r="A123" s="20">
        <v>119</v>
      </c>
      <c r="B123" s="83">
        <v>-2.9598618249120277</v>
      </c>
      <c r="C123" s="83">
        <v>-3.4161578982028011</v>
      </c>
      <c r="D123" s="83">
        <v>-0.37631632568073936</v>
      </c>
      <c r="E123" s="83">
        <v>-0.91398928934581258</v>
      </c>
      <c r="F123" s="83"/>
      <c r="G123" s="26"/>
    </row>
    <row r="124" spans="1:7" x14ac:dyDescent="0.35">
      <c r="A124" s="20">
        <v>120</v>
      </c>
      <c r="B124" s="83">
        <v>3.8981431675334917</v>
      </c>
      <c r="C124" s="83">
        <v>0.99845943318290487</v>
      </c>
      <c r="D124" s="83">
        <v>1.5769284837170887</v>
      </c>
      <c r="E124" s="83">
        <v>1.144978116430267</v>
      </c>
      <c r="F124" s="83"/>
      <c r="G124" s="26"/>
    </row>
    <row r="125" spans="1:7" x14ac:dyDescent="0.35">
      <c r="A125" s="20">
        <v>121</v>
      </c>
      <c r="B125" s="83">
        <v>-2.4039242244296171</v>
      </c>
      <c r="C125" s="83">
        <v>2.3627882455148992</v>
      </c>
      <c r="D125" s="83">
        <v>-1.0207541012208721</v>
      </c>
      <c r="E125" s="83">
        <v>-0.90769803390932025</v>
      </c>
      <c r="F125" s="83"/>
      <c r="G125" s="26"/>
    </row>
    <row r="126" spans="1:7" x14ac:dyDescent="0.35">
      <c r="A126" s="20">
        <v>122</v>
      </c>
      <c r="B126" s="83">
        <v>1.5779382658778649</v>
      </c>
      <c r="C126" s="83">
        <v>0.87997997725093746</v>
      </c>
      <c r="D126" s="83">
        <v>2.8115697190475735</v>
      </c>
      <c r="E126" s="83">
        <v>3.8644542801616528</v>
      </c>
      <c r="F126" s="83"/>
      <c r="G126" s="26"/>
    </row>
    <row r="127" spans="1:7" x14ac:dyDescent="0.35">
      <c r="A127" s="20">
        <v>123</v>
      </c>
      <c r="B127" s="83">
        <v>9.8220981454507879</v>
      </c>
      <c r="C127" s="83">
        <v>-0.7734132684238797</v>
      </c>
      <c r="D127" s="83">
        <v>2.2848746613807043</v>
      </c>
      <c r="E127" s="83">
        <v>-5.6331920121070898</v>
      </c>
      <c r="F127" s="83"/>
      <c r="G127" s="26"/>
    </row>
    <row r="128" spans="1:7" x14ac:dyDescent="0.35">
      <c r="A128" s="20">
        <v>124</v>
      </c>
      <c r="B128" s="83">
        <v>-6.249722936560822</v>
      </c>
      <c r="C128" s="83">
        <v>-0.28870037915665547</v>
      </c>
      <c r="D128" s="83">
        <v>-5.4104383474951199</v>
      </c>
      <c r="E128" s="83">
        <v>-1.6694809116380687</v>
      </c>
      <c r="F128" s="83"/>
      <c r="G128" s="26"/>
    </row>
    <row r="129" spans="1:7" x14ac:dyDescent="0.35">
      <c r="A129" s="20">
        <v>125</v>
      </c>
      <c r="B129" s="83">
        <v>-1.0574114777437256</v>
      </c>
      <c r="C129" s="83">
        <v>-4.3143926606722074</v>
      </c>
      <c r="D129" s="83">
        <v>0.54792703421397282</v>
      </c>
      <c r="E129" s="83">
        <v>0.28417998085753604</v>
      </c>
      <c r="F129" s="83"/>
      <c r="G129" s="26"/>
    </row>
    <row r="130" spans="1:7" x14ac:dyDescent="0.35">
      <c r="A130" s="20">
        <v>126</v>
      </c>
      <c r="B130" s="83">
        <v>2.293626045519396</v>
      </c>
      <c r="C130" s="83">
        <v>-0.23708868344169409</v>
      </c>
      <c r="D130" s="83">
        <v>1.7925193519699407</v>
      </c>
      <c r="E130" s="83">
        <v>0.42476305448466478</v>
      </c>
      <c r="F130" s="83"/>
      <c r="G130" s="26"/>
    </row>
    <row r="131" spans="1:7" x14ac:dyDescent="0.35">
      <c r="A131" s="20">
        <v>127</v>
      </c>
      <c r="B131" s="83">
        <v>-0.38625740273071774</v>
      </c>
      <c r="C131" s="83">
        <v>-4.2690516479138596</v>
      </c>
      <c r="D131" s="83">
        <v>1.153179742841786</v>
      </c>
      <c r="E131" s="83">
        <v>-1.4014656996233794</v>
      </c>
      <c r="F131" s="83"/>
      <c r="G131" s="26"/>
    </row>
    <row r="132" spans="1:7" x14ac:dyDescent="0.35">
      <c r="A132" s="20">
        <v>128</v>
      </c>
      <c r="B132" s="83">
        <v>1.1729964308921788</v>
      </c>
      <c r="C132" s="83">
        <v>2.4605035188016489E-2</v>
      </c>
      <c r="D132" s="83">
        <v>4.7079309847001536</v>
      </c>
      <c r="E132" s="83">
        <v>-1.6841955554794183</v>
      </c>
      <c r="F132" s="83"/>
      <c r="G132" s="26"/>
    </row>
    <row r="133" spans="1:7" x14ac:dyDescent="0.35">
      <c r="A133" s="20">
        <v>129</v>
      </c>
      <c r="B133" s="83">
        <v>-1.7692756574211828</v>
      </c>
      <c r="C133" s="83">
        <v>-2.7121753957471979</v>
      </c>
      <c r="D133" s="83">
        <v>-0.28515516984553635</v>
      </c>
      <c r="E133" s="83">
        <v>1.6611876655904285</v>
      </c>
      <c r="F133" s="83"/>
      <c r="G133" s="26"/>
    </row>
    <row r="134" spans="1:7" x14ac:dyDescent="0.35">
      <c r="A134" s="20">
        <v>130</v>
      </c>
      <c r="B134" s="83">
        <v>-2.5635002861586527</v>
      </c>
      <c r="C134" s="83">
        <v>4.1497826030039793</v>
      </c>
      <c r="D134" s="83">
        <v>2.9314326475308512</v>
      </c>
      <c r="E134" s="83">
        <v>-7.2677897989295914E-2</v>
      </c>
      <c r="F134" s="83"/>
      <c r="G134" s="26"/>
    </row>
    <row r="135" spans="1:7" x14ac:dyDescent="0.35">
      <c r="A135" s="20">
        <v>131</v>
      </c>
      <c r="B135" s="83">
        <v>4.8846219482570774</v>
      </c>
      <c r="C135" s="83">
        <v>1.7582217102895643</v>
      </c>
      <c r="D135" s="83">
        <v>0.14573945678142142</v>
      </c>
      <c r="E135" s="83">
        <v>0.31819152434030262</v>
      </c>
      <c r="F135" s="83"/>
      <c r="G135" s="26"/>
    </row>
    <row r="136" spans="1:7" x14ac:dyDescent="0.35">
      <c r="A136" s="20">
        <v>132</v>
      </c>
      <c r="B136" s="83">
        <v>1.1093606357838832</v>
      </c>
      <c r="C136" s="83">
        <v>-2.6717176654639405</v>
      </c>
      <c r="D136" s="83">
        <v>-0.16278508027797067</v>
      </c>
      <c r="E136" s="83">
        <v>-0.63599670833655453</v>
      </c>
      <c r="F136" s="83"/>
      <c r="G136" s="26"/>
    </row>
    <row r="137" spans="1:7" x14ac:dyDescent="0.35">
      <c r="A137" s="20">
        <v>133</v>
      </c>
      <c r="B137" s="83">
        <v>1.6140736707576275</v>
      </c>
      <c r="C137" s="83">
        <v>-0.11922973089405775</v>
      </c>
      <c r="D137" s="83">
        <v>0.27464628299203192</v>
      </c>
      <c r="E137" s="83">
        <v>-1.0837975843067931</v>
      </c>
      <c r="F137" s="83"/>
      <c r="G137" s="26"/>
    </row>
    <row r="138" spans="1:7" x14ac:dyDescent="0.35">
      <c r="A138" s="20">
        <v>134</v>
      </c>
      <c r="B138" s="83">
        <v>2.2142477120319342</v>
      </c>
      <c r="C138" s="83">
        <v>3.131809615582398</v>
      </c>
      <c r="D138" s="83">
        <v>-2.6766474397224238E-2</v>
      </c>
      <c r="E138" s="83">
        <v>0.82624227191258459</v>
      </c>
      <c r="F138" s="83"/>
      <c r="G138" s="26"/>
    </row>
    <row r="139" spans="1:7" x14ac:dyDescent="0.35">
      <c r="A139" s="20">
        <v>135</v>
      </c>
      <c r="B139" s="83">
        <v>-2.5711467960167473</v>
      </c>
      <c r="C139" s="83">
        <v>-3.4148777536560244</v>
      </c>
      <c r="D139" s="83">
        <v>2.1801667982017747</v>
      </c>
      <c r="E139" s="83">
        <v>-2.2456461048934995</v>
      </c>
      <c r="F139" s="83"/>
      <c r="G139" s="26"/>
    </row>
    <row r="140" spans="1:7" x14ac:dyDescent="0.35">
      <c r="A140" s="20">
        <v>136</v>
      </c>
      <c r="B140" s="83">
        <v>-1.2207024917523752</v>
      </c>
      <c r="C140" s="83">
        <v>-2.3105259639344862</v>
      </c>
      <c r="D140" s="83">
        <v>0.68136196003268212</v>
      </c>
      <c r="E140" s="83">
        <v>5.2817701953677021E-2</v>
      </c>
      <c r="F140" s="83"/>
      <c r="G140" s="26"/>
    </row>
    <row r="141" spans="1:7" x14ac:dyDescent="0.35">
      <c r="A141" s="20">
        <v>137</v>
      </c>
      <c r="B141" s="83">
        <v>2.5277275221465652</v>
      </c>
      <c r="C141" s="83">
        <v>-0.62776010210072486</v>
      </c>
      <c r="D141" s="83">
        <v>-0.48935636013499417</v>
      </c>
      <c r="E141" s="83">
        <v>-1.8826068353758383</v>
      </c>
      <c r="F141" s="83"/>
      <c r="G141" s="26"/>
    </row>
    <row r="142" spans="1:7" x14ac:dyDescent="0.35">
      <c r="A142" s="20">
        <v>138</v>
      </c>
      <c r="B142" s="83">
        <v>-1.5110850744348139</v>
      </c>
      <c r="C142" s="83">
        <v>-0.65046663553514317</v>
      </c>
      <c r="D142" s="83">
        <v>3.3738185729424157</v>
      </c>
      <c r="E142" s="83">
        <v>2.3519084378986701</v>
      </c>
      <c r="F142" s="83"/>
      <c r="G142" s="26"/>
    </row>
    <row r="143" spans="1:7" x14ac:dyDescent="0.35">
      <c r="A143" s="20">
        <v>139</v>
      </c>
      <c r="B143" s="83">
        <v>-2.4212368805731419</v>
      </c>
      <c r="C143" s="83">
        <v>-2.0299191787378676</v>
      </c>
      <c r="D143" s="83">
        <v>-1.995715786639602</v>
      </c>
      <c r="E143" s="83">
        <v>4.4453260094363678E-2</v>
      </c>
      <c r="F143" s="83"/>
      <c r="G143" s="26"/>
    </row>
    <row r="144" spans="1:7" x14ac:dyDescent="0.35">
      <c r="A144" s="20">
        <v>140</v>
      </c>
      <c r="B144" s="83">
        <v>-6.7202749125723766</v>
      </c>
      <c r="C144" s="83">
        <v>-4.673460150156588</v>
      </c>
      <c r="D144" s="83">
        <v>-2.4020241791687313</v>
      </c>
      <c r="E144" s="83">
        <v>0.20920248374874939</v>
      </c>
      <c r="F144" s="83"/>
      <c r="G144" s="26"/>
    </row>
    <row r="145" spans="1:7" x14ac:dyDescent="0.35">
      <c r="A145" s="20">
        <v>141</v>
      </c>
      <c r="B145" s="83">
        <v>-5.8834998444471491</v>
      </c>
      <c r="C145" s="83">
        <v>1.4299318891963739</v>
      </c>
      <c r="D145" s="83">
        <v>-5.3147891478893143</v>
      </c>
      <c r="E145" s="83">
        <v>1.1366637391616323</v>
      </c>
      <c r="F145" s="83"/>
      <c r="G145" s="26"/>
    </row>
    <row r="146" spans="1:7" x14ac:dyDescent="0.35">
      <c r="A146" s="20">
        <v>142</v>
      </c>
      <c r="B146" s="83">
        <v>3.5399483473669742</v>
      </c>
      <c r="C146" s="83">
        <v>-5.5491630231948612</v>
      </c>
      <c r="D146" s="83">
        <v>-2.2126463350134</v>
      </c>
      <c r="E146" s="83">
        <v>1.5096719585396412</v>
      </c>
      <c r="F146" s="83"/>
      <c r="G146" s="26"/>
    </row>
    <row r="147" spans="1:7" x14ac:dyDescent="0.35">
      <c r="A147" s="20">
        <v>143</v>
      </c>
      <c r="B147" s="83">
        <v>-5.0220461582329587</v>
      </c>
      <c r="C147" s="83">
        <v>5.9512390847643388</v>
      </c>
      <c r="D147" s="83">
        <v>-4.3960425317231913</v>
      </c>
      <c r="E147" s="83">
        <v>0.57246161017640729</v>
      </c>
      <c r="F147" s="83"/>
      <c r="G147" s="26"/>
    </row>
    <row r="148" spans="1:7" x14ac:dyDescent="0.35">
      <c r="A148" s="20">
        <v>144</v>
      </c>
      <c r="B148" s="83">
        <v>-3.5758821686663405</v>
      </c>
      <c r="C148" s="83">
        <v>5.3436485945514756E-2</v>
      </c>
      <c r="D148" s="83">
        <v>-2.1628801744553336</v>
      </c>
      <c r="E148" s="83">
        <v>-1.2997835770825381</v>
      </c>
      <c r="F148" s="83"/>
      <c r="G148" s="26"/>
    </row>
    <row r="149" spans="1:7" x14ac:dyDescent="0.35">
      <c r="A149" s="20">
        <v>145</v>
      </c>
      <c r="B149" s="83">
        <v>5.3974228940207034</v>
      </c>
      <c r="C149" s="83">
        <v>1.4706527158127565</v>
      </c>
      <c r="D149" s="83">
        <v>-2.1805202816882283</v>
      </c>
      <c r="E149" s="83">
        <v>-0.56343292195268135</v>
      </c>
      <c r="F149" s="83"/>
      <c r="G149" s="26"/>
    </row>
    <row r="150" spans="1:7" x14ac:dyDescent="0.35">
      <c r="A150" s="20">
        <v>146</v>
      </c>
      <c r="B150" s="83">
        <v>0.81307113623278626</v>
      </c>
      <c r="C150" s="83">
        <v>-2.0088192950017429</v>
      </c>
      <c r="D150" s="83">
        <v>0.79688583328521867</v>
      </c>
      <c r="E150" s="83">
        <v>-0.60568610931958178</v>
      </c>
      <c r="F150" s="83"/>
      <c r="G150" s="26"/>
    </row>
    <row r="151" spans="1:7" x14ac:dyDescent="0.35">
      <c r="A151" s="20">
        <v>147</v>
      </c>
      <c r="B151" s="83">
        <v>0.22417975562451442</v>
      </c>
      <c r="C151" s="83">
        <v>-1.8710712232609144</v>
      </c>
      <c r="D151" s="83">
        <v>2.278289057851123</v>
      </c>
      <c r="E151" s="83">
        <v>-1.7659232030384788</v>
      </c>
      <c r="F151" s="83"/>
      <c r="G151" s="26"/>
    </row>
    <row r="152" spans="1:7" x14ac:dyDescent="0.35">
      <c r="A152" s="20">
        <v>148</v>
      </c>
      <c r="B152" s="83">
        <v>3.4781514005424445</v>
      </c>
      <c r="C152" s="83">
        <v>0.93699439012009211</v>
      </c>
      <c r="D152" s="83">
        <v>-5.5069710933948111</v>
      </c>
      <c r="E152" s="83">
        <v>2.3031119124024499</v>
      </c>
      <c r="F152" s="83"/>
      <c r="G152" s="26"/>
    </row>
    <row r="153" spans="1:7" x14ac:dyDescent="0.35">
      <c r="A153" s="20">
        <v>149</v>
      </c>
      <c r="B153" s="83">
        <v>5.265609111487862</v>
      </c>
      <c r="C153" s="83">
        <v>-0.35745776232957627</v>
      </c>
      <c r="D153" s="83">
        <v>-0.18959157533610993</v>
      </c>
      <c r="E153" s="83">
        <v>-1.1796795925487853</v>
      </c>
      <c r="F153" s="83"/>
      <c r="G153" s="26"/>
    </row>
    <row r="154" spans="1:7" x14ac:dyDescent="0.35">
      <c r="A154" s="20">
        <v>150</v>
      </c>
      <c r="B154" s="83">
        <v>-0.46706823365314731</v>
      </c>
      <c r="C154" s="83">
        <v>2.6624210393973502E-2</v>
      </c>
      <c r="D154" s="83">
        <v>-1.6505355209417032</v>
      </c>
      <c r="E154" s="83">
        <v>2.5855899284206512</v>
      </c>
      <c r="F154" s="83"/>
      <c r="G154" s="26"/>
    </row>
    <row r="155" spans="1:7" x14ac:dyDescent="0.35">
      <c r="A155" s="20">
        <v>151</v>
      </c>
      <c r="B155" s="83">
        <v>6.7660604021357909</v>
      </c>
      <c r="C155" s="83">
        <v>-0.42331504882686821</v>
      </c>
      <c r="D155" s="83">
        <v>-1.0769953245669195</v>
      </c>
      <c r="E155" s="83">
        <v>0.2064743266088569</v>
      </c>
      <c r="F155" s="83"/>
      <c r="G155" s="26"/>
    </row>
    <row r="156" spans="1:7" x14ac:dyDescent="0.35">
      <c r="A156" s="20">
        <v>152</v>
      </c>
      <c r="B156" s="83">
        <v>0.60209367863624985</v>
      </c>
      <c r="C156" s="83">
        <v>-0.43823322863366998</v>
      </c>
      <c r="D156" s="83">
        <v>0.92049533589880927</v>
      </c>
      <c r="E156" s="83">
        <v>1.1070595402648451</v>
      </c>
      <c r="F156" s="83"/>
      <c r="G156" s="26"/>
    </row>
    <row r="157" spans="1:7" x14ac:dyDescent="0.35">
      <c r="A157" s="20">
        <v>153</v>
      </c>
      <c r="B157" s="83">
        <v>-3.8828595944578703</v>
      </c>
      <c r="C157" s="83">
        <v>5.177287867310298</v>
      </c>
      <c r="D157" s="83">
        <v>-1.1369500138539936</v>
      </c>
      <c r="E157" s="83">
        <v>5.0297389848836138E-2</v>
      </c>
      <c r="F157" s="83"/>
      <c r="G157" s="26"/>
    </row>
    <row r="158" spans="1:7" x14ac:dyDescent="0.35">
      <c r="A158" s="20">
        <v>154</v>
      </c>
      <c r="B158" s="83">
        <v>-0.31406449228967848</v>
      </c>
      <c r="C158" s="83">
        <v>-4.6237386369656246</v>
      </c>
      <c r="D158" s="83">
        <v>-2.0871433987298653</v>
      </c>
      <c r="E158" s="83">
        <v>0.87645003881610606</v>
      </c>
      <c r="F158" s="83"/>
      <c r="G158" s="26"/>
    </row>
    <row r="159" spans="1:7" x14ac:dyDescent="0.35">
      <c r="A159" s="20">
        <v>155</v>
      </c>
      <c r="B159" s="83">
        <v>-3.6925237375680151</v>
      </c>
      <c r="C159" s="83">
        <v>13.064760904678996</v>
      </c>
      <c r="D159" s="83">
        <v>0.88748134812364943</v>
      </c>
      <c r="E159" s="83">
        <v>-2.8214105619136922</v>
      </c>
      <c r="F159" s="83"/>
      <c r="G159" s="26"/>
    </row>
    <row r="160" spans="1:7" x14ac:dyDescent="0.35">
      <c r="A160" s="20">
        <v>156</v>
      </c>
      <c r="B160" s="83">
        <v>5.9990445677891323E-2</v>
      </c>
      <c r="C160" s="83">
        <v>-5.8982380104123742</v>
      </c>
      <c r="D160" s="83">
        <v>2.766274173180133</v>
      </c>
      <c r="E160" s="83">
        <v>0.66234209073566752</v>
      </c>
      <c r="F160" s="83"/>
      <c r="G160" s="26"/>
    </row>
    <row r="161" spans="1:7" x14ac:dyDescent="0.35">
      <c r="A161" s="20">
        <v>157</v>
      </c>
      <c r="B161" s="83">
        <v>1.41772640467528</v>
      </c>
      <c r="C161" s="83">
        <v>8.4404165613395605</v>
      </c>
      <c r="D161" s="83">
        <v>-1.6028233156919276</v>
      </c>
      <c r="E161" s="83">
        <v>-1.7306976659917561</v>
      </c>
      <c r="F161" s="83"/>
      <c r="G161" s="26"/>
    </row>
    <row r="162" spans="1:7" x14ac:dyDescent="0.35">
      <c r="A162" s="20">
        <v>158</v>
      </c>
      <c r="B162" s="83">
        <v>14.853178053263676</v>
      </c>
      <c r="C162" s="83">
        <v>4.8413372213184704</v>
      </c>
      <c r="D162" s="83">
        <v>7.1197944584397401</v>
      </c>
      <c r="E162" s="83">
        <v>0.72713139610750721</v>
      </c>
      <c r="F162" s="83"/>
      <c r="G162" s="26"/>
    </row>
    <row r="163" spans="1:7" x14ac:dyDescent="0.35">
      <c r="A163" s="20">
        <v>159</v>
      </c>
      <c r="B163" s="83">
        <v>1.3586777805916177</v>
      </c>
      <c r="C163" s="83">
        <v>-4.906315732066493</v>
      </c>
      <c r="D163" s="83">
        <v>-1.0272332469845924</v>
      </c>
      <c r="E163" s="83">
        <v>-0.74098141390267513</v>
      </c>
      <c r="F163" s="83"/>
      <c r="G163" s="26"/>
    </row>
    <row r="164" spans="1:7" x14ac:dyDescent="0.35">
      <c r="A164" s="20">
        <v>160</v>
      </c>
      <c r="B164" s="83">
        <v>-3.2594071451605826</v>
      </c>
      <c r="C164" s="83">
        <v>3.6357394565867009</v>
      </c>
      <c r="D164" s="83">
        <v>-2.3979649209965226</v>
      </c>
      <c r="E164" s="83">
        <v>0.11781494942267046</v>
      </c>
      <c r="F164" s="83"/>
      <c r="G164" s="26"/>
    </row>
    <row r="165" spans="1:7" x14ac:dyDescent="0.35">
      <c r="A165" s="20">
        <v>161</v>
      </c>
      <c r="B165" s="83">
        <v>-3.5525272072364462</v>
      </c>
      <c r="C165" s="83">
        <v>-0.40075603714308755</v>
      </c>
      <c r="D165" s="83">
        <v>-2.8915760232814747</v>
      </c>
      <c r="E165" s="83">
        <v>9.1315078300574051</v>
      </c>
      <c r="F165" s="83"/>
      <c r="G165" s="26"/>
    </row>
    <row r="166" spans="1:7" x14ac:dyDescent="0.35">
      <c r="A166" s="20">
        <v>162</v>
      </c>
      <c r="B166" s="83">
        <v>2.0630042070109278</v>
      </c>
      <c r="C166" s="83">
        <v>-2.2108879207371408</v>
      </c>
      <c r="D166" s="83">
        <v>-4.186535194766142</v>
      </c>
      <c r="E166" s="83">
        <v>-4.6580369456715793</v>
      </c>
      <c r="F166" s="83"/>
      <c r="G166" s="26"/>
    </row>
    <row r="167" spans="1:7" x14ac:dyDescent="0.35">
      <c r="A167" s="20">
        <v>163</v>
      </c>
      <c r="B167" s="83">
        <v>1.0883272596864604</v>
      </c>
      <c r="C167" s="83">
        <v>-2.3376012700738356</v>
      </c>
      <c r="D167" s="83">
        <v>1.1338826682576335</v>
      </c>
      <c r="E167" s="83">
        <v>-3.0077213731391135</v>
      </c>
      <c r="F167" s="83"/>
      <c r="G167" s="26"/>
    </row>
    <row r="168" spans="1:7" x14ac:dyDescent="0.35">
      <c r="A168" s="20">
        <v>164</v>
      </c>
      <c r="B168" s="83">
        <v>-3.0021011124522765</v>
      </c>
      <c r="C168" s="83">
        <v>1.6774150776240804</v>
      </c>
      <c r="D168" s="83">
        <v>-3.5558588939114841</v>
      </c>
      <c r="E168" s="83">
        <v>0.97491968235775284</v>
      </c>
      <c r="F168" s="83"/>
      <c r="G168" s="26"/>
    </row>
    <row r="169" spans="1:7" x14ac:dyDescent="0.35">
      <c r="A169" s="20">
        <v>165</v>
      </c>
      <c r="B169" s="83">
        <v>-2.0778131942053153</v>
      </c>
      <c r="C169" s="83">
        <v>-2.7083628198203167</v>
      </c>
      <c r="D169" s="83">
        <v>1.3067747843427973</v>
      </c>
      <c r="E169" s="83">
        <v>-2.5732253693190654</v>
      </c>
      <c r="F169" s="83"/>
      <c r="G169" s="26"/>
    </row>
    <row r="170" spans="1:7" x14ac:dyDescent="0.35">
      <c r="A170" s="20">
        <v>166</v>
      </c>
      <c r="B170" s="83">
        <v>-0.38770117975946139</v>
      </c>
      <c r="C170" s="83">
        <v>-3.39448468513931</v>
      </c>
      <c r="D170" s="83">
        <v>3.9969066421628368</v>
      </c>
      <c r="E170" s="83">
        <v>1.15261088113336</v>
      </c>
      <c r="F170" s="83"/>
      <c r="G170" s="26"/>
    </row>
    <row r="171" spans="1:7" x14ac:dyDescent="0.35">
      <c r="A171" s="20">
        <v>167</v>
      </c>
      <c r="B171" s="83">
        <v>3.8675665466894849</v>
      </c>
      <c r="C171" s="83">
        <v>5.0236044157839483</v>
      </c>
      <c r="D171" s="83">
        <v>-1.7576604755813956</v>
      </c>
      <c r="E171" s="83">
        <v>-0.32049396000159103</v>
      </c>
      <c r="F171" s="83"/>
      <c r="G171" s="26"/>
    </row>
    <row r="172" spans="1:7" x14ac:dyDescent="0.35">
      <c r="A172" s="20">
        <v>168</v>
      </c>
      <c r="B172" s="83">
        <v>1.4579123634880888</v>
      </c>
      <c r="C172" s="83">
        <v>-2.2909490571184912</v>
      </c>
      <c r="D172" s="83">
        <v>-1.4028542730290476</v>
      </c>
      <c r="E172" s="83">
        <v>-1.2397411534466749</v>
      </c>
      <c r="F172" s="83"/>
      <c r="G172" s="26"/>
    </row>
    <row r="173" spans="1:7" x14ac:dyDescent="0.35">
      <c r="A173" s="20">
        <v>169</v>
      </c>
      <c r="B173" s="83">
        <v>3.6971470453339434</v>
      </c>
      <c r="C173" s="83">
        <v>-3.4625964368733495</v>
      </c>
      <c r="D173" s="83">
        <v>2.6850770397381236</v>
      </c>
      <c r="E173" s="83">
        <v>-1.8707699216645177</v>
      </c>
      <c r="F173" s="83"/>
      <c r="G173" s="26"/>
    </row>
    <row r="174" spans="1:7" x14ac:dyDescent="0.35">
      <c r="A174" s="20">
        <v>170</v>
      </c>
      <c r="B174" s="83">
        <v>3.0955703804016363</v>
      </c>
      <c r="C174" s="83">
        <v>-2.0332211131962508</v>
      </c>
      <c r="D174" s="83">
        <v>3.5970698987137988</v>
      </c>
      <c r="E174" s="83">
        <v>1.8221145627631077</v>
      </c>
      <c r="F174" s="83"/>
      <c r="G174" s="26"/>
    </row>
    <row r="175" spans="1:7" x14ac:dyDescent="0.35">
      <c r="A175" s="20">
        <v>171</v>
      </c>
      <c r="B175" s="83">
        <v>1.3867396379470835</v>
      </c>
      <c r="C175" s="83">
        <v>-3.0393404547035812</v>
      </c>
      <c r="D175" s="83">
        <v>3.2754685229336724</v>
      </c>
      <c r="E175" s="83">
        <v>-1.0872551706773488</v>
      </c>
      <c r="F175" s="83"/>
      <c r="G175" s="26"/>
    </row>
    <row r="176" spans="1:7" x14ac:dyDescent="0.35">
      <c r="A176" s="20">
        <v>172</v>
      </c>
      <c r="B176" s="83">
        <v>-7.0818286433814492E-2</v>
      </c>
      <c r="C176" s="83">
        <v>0.1870257570298679</v>
      </c>
      <c r="D176" s="83">
        <v>-4.3828234846317411</v>
      </c>
      <c r="E176" s="83">
        <v>2.9814305520758921E-3</v>
      </c>
      <c r="F176" s="83"/>
      <c r="G176" s="26"/>
    </row>
    <row r="177" spans="1:7" x14ac:dyDescent="0.35">
      <c r="A177" s="20">
        <v>173</v>
      </c>
      <c r="B177" s="83">
        <v>-5.7893399498980038</v>
      </c>
      <c r="C177" s="83">
        <v>-1.1448703225178036</v>
      </c>
      <c r="D177" s="83">
        <v>-2.4878669373395166</v>
      </c>
      <c r="E177" s="83">
        <v>-0.82746754495718955</v>
      </c>
      <c r="F177" s="83"/>
      <c r="G177" s="26"/>
    </row>
    <row r="178" spans="1:7" x14ac:dyDescent="0.35">
      <c r="A178" s="20">
        <v>174</v>
      </c>
      <c r="B178" s="83">
        <v>0.21688764864795296</v>
      </c>
      <c r="C178" s="83">
        <v>2.8538485180073665</v>
      </c>
      <c r="D178" s="83">
        <v>0.22139310118935907</v>
      </c>
      <c r="E178" s="83">
        <v>3.390444940026927</v>
      </c>
      <c r="F178" s="83"/>
      <c r="G178" s="26"/>
    </row>
    <row r="179" spans="1:7" x14ac:dyDescent="0.35">
      <c r="A179" s="20">
        <v>175</v>
      </c>
      <c r="B179" s="83">
        <v>-3.2561378939994148</v>
      </c>
      <c r="C179" s="83">
        <v>-5.000710862973019</v>
      </c>
      <c r="D179" s="83">
        <v>5.424823298996075</v>
      </c>
      <c r="E179" s="83">
        <v>-1.6849553133744639</v>
      </c>
      <c r="F179" s="83"/>
      <c r="G179" s="26"/>
    </row>
    <row r="180" spans="1:7" x14ac:dyDescent="0.35">
      <c r="A180" s="20">
        <v>176</v>
      </c>
      <c r="B180" s="83">
        <v>0.82439746653807866</v>
      </c>
      <c r="C180" s="83">
        <v>2.5389964726887913</v>
      </c>
      <c r="D180" s="83">
        <v>-0.16023416013431269</v>
      </c>
      <c r="E180" s="83">
        <v>4.0199821205796127E-2</v>
      </c>
      <c r="F180" s="83"/>
      <c r="G180" s="26"/>
    </row>
    <row r="181" spans="1:7" x14ac:dyDescent="0.35">
      <c r="A181" s="20">
        <v>177</v>
      </c>
      <c r="B181" s="83">
        <v>-1.662385543072157</v>
      </c>
      <c r="C181" s="83">
        <v>7.3607291083933273</v>
      </c>
      <c r="D181" s="83">
        <v>5.1439173552991369</v>
      </c>
      <c r="E181" s="83">
        <v>-1.0891599019429266</v>
      </c>
      <c r="F181" s="83"/>
      <c r="G181" s="26"/>
    </row>
    <row r="182" spans="1:7" x14ac:dyDescent="0.35">
      <c r="A182" s="20">
        <v>178</v>
      </c>
      <c r="B182" s="83">
        <v>0.66382140346220986</v>
      </c>
      <c r="C182" s="83">
        <v>5.7056559236272673</v>
      </c>
      <c r="D182" s="83">
        <v>1.9320975468614083</v>
      </c>
      <c r="E182" s="83">
        <v>1.3430623356406546E-2</v>
      </c>
      <c r="F182" s="83"/>
      <c r="G182" s="26"/>
    </row>
    <row r="183" spans="1:7" x14ac:dyDescent="0.35">
      <c r="A183" s="20">
        <v>179</v>
      </c>
      <c r="B183" s="83">
        <v>6.4092698174361846</v>
      </c>
      <c r="C183" s="83">
        <v>4.8389281833408022</v>
      </c>
      <c r="D183" s="83">
        <v>1.0044101721869703</v>
      </c>
      <c r="E183" s="83">
        <v>-0.22877559775020262</v>
      </c>
      <c r="F183" s="83"/>
      <c r="G183" s="26"/>
    </row>
    <row r="184" spans="1:7" x14ac:dyDescent="0.35">
      <c r="A184" s="20">
        <v>180</v>
      </c>
      <c r="B184" s="83">
        <v>-3.7044857240032298</v>
      </c>
      <c r="C184" s="83">
        <v>0.58437325157533726</v>
      </c>
      <c r="D184" s="83">
        <v>-2.0384213446362112</v>
      </c>
      <c r="E184" s="83">
        <v>2.0179937554751026</v>
      </c>
      <c r="F184" s="83"/>
      <c r="G184" s="26"/>
    </row>
    <row r="185" spans="1:7" x14ac:dyDescent="0.35">
      <c r="A185" s="20">
        <v>181</v>
      </c>
      <c r="B185" s="83">
        <v>-4.8108612752568956</v>
      </c>
      <c r="C185" s="83">
        <v>0.50563658545587942</v>
      </c>
      <c r="D185" s="83">
        <v>0.21757057402210744</v>
      </c>
      <c r="E185" s="83">
        <v>2.14568245636542</v>
      </c>
      <c r="F185" s="83"/>
      <c r="G185" s="26"/>
    </row>
    <row r="186" spans="1:7" x14ac:dyDescent="0.35">
      <c r="A186" s="20">
        <v>182</v>
      </c>
      <c r="B186" s="83">
        <v>-6.3030848103467978</v>
      </c>
      <c r="C186" s="83">
        <v>-1.1834966435268608</v>
      </c>
      <c r="D186" s="83">
        <v>-3.8125874575861451</v>
      </c>
      <c r="E186" s="83">
        <v>-0.45664791897463375</v>
      </c>
      <c r="F186" s="83"/>
      <c r="G186" s="26"/>
    </row>
    <row r="187" spans="1:7" x14ac:dyDescent="0.35">
      <c r="A187" s="20">
        <v>183</v>
      </c>
      <c r="B187" s="83">
        <v>1.8947468683021804</v>
      </c>
      <c r="C187" s="83">
        <v>0.74199003769828575</v>
      </c>
      <c r="D187" s="83">
        <v>1.7320301626600725</v>
      </c>
      <c r="E187" s="83">
        <v>1.4294401694529768</v>
      </c>
      <c r="F187" s="83"/>
      <c r="G187" s="26"/>
    </row>
    <row r="188" spans="1:7" x14ac:dyDescent="0.35">
      <c r="A188" s="20">
        <v>184</v>
      </c>
      <c r="B188" s="83">
        <v>4.9599223798580265</v>
      </c>
      <c r="C188" s="83">
        <v>3.0708340698361667</v>
      </c>
      <c r="D188" s="83">
        <v>-0.59971898239235166</v>
      </c>
      <c r="E188" s="83">
        <v>-0.6549974939825336</v>
      </c>
      <c r="F188" s="83"/>
      <c r="G188" s="26"/>
    </row>
    <row r="189" spans="1:7" x14ac:dyDescent="0.35">
      <c r="A189" s="20">
        <v>185</v>
      </c>
      <c r="B189" s="83">
        <v>3.5341595581372047</v>
      </c>
      <c r="C189" s="83">
        <v>-1.1587527674151676</v>
      </c>
      <c r="D189" s="83">
        <v>-5.0900525775922221</v>
      </c>
      <c r="E189" s="83">
        <v>-2.4019376539222019</v>
      </c>
      <c r="F189" s="83"/>
      <c r="G189" s="26"/>
    </row>
    <row r="190" spans="1:7" x14ac:dyDescent="0.35">
      <c r="A190" s="20">
        <v>186</v>
      </c>
      <c r="B190" s="83">
        <v>-4.3983022212450429</v>
      </c>
      <c r="C190" s="83">
        <v>-0.41131365079130466</v>
      </c>
      <c r="D190" s="83">
        <v>2.5536468160135435</v>
      </c>
      <c r="E190" s="83">
        <v>-2.9432743720465986</v>
      </c>
      <c r="F190" s="83"/>
      <c r="G190" s="26"/>
    </row>
    <row r="191" spans="1:7" x14ac:dyDescent="0.35">
      <c r="A191" s="20">
        <v>187</v>
      </c>
      <c r="B191" s="83">
        <v>-0.11757864880233448</v>
      </c>
      <c r="C191" s="83">
        <v>1.6113908845724998</v>
      </c>
      <c r="D191" s="83">
        <v>-1.872632416647368</v>
      </c>
      <c r="E191" s="83">
        <v>2.4607389761907417</v>
      </c>
      <c r="F191" s="83"/>
      <c r="G191" s="26"/>
    </row>
    <row r="192" spans="1:7" x14ac:dyDescent="0.35">
      <c r="A192" s="20">
        <v>188</v>
      </c>
      <c r="B192" s="83">
        <v>2.5625086120927492</v>
      </c>
      <c r="C192" s="83">
        <v>-2.4469318472739392</v>
      </c>
      <c r="D192" s="83">
        <v>-4.4364984142821644</v>
      </c>
      <c r="E192" s="83">
        <v>0.90909826618867351</v>
      </c>
      <c r="F192" s="83"/>
      <c r="G192" s="26"/>
    </row>
    <row r="193" spans="1:7" x14ac:dyDescent="0.35">
      <c r="A193" s="20">
        <v>189</v>
      </c>
      <c r="B193" s="83">
        <v>0.95848297372056845</v>
      </c>
      <c r="C193" s="83">
        <v>-0.32891577019610252</v>
      </c>
      <c r="D193" s="83">
        <v>2.346943079855393</v>
      </c>
      <c r="E193" s="83">
        <v>-2.5553204914059662</v>
      </c>
      <c r="F193" s="83"/>
      <c r="G193" s="26"/>
    </row>
    <row r="194" spans="1:7" x14ac:dyDescent="0.35">
      <c r="A194" s="20">
        <v>190</v>
      </c>
      <c r="B194" s="83">
        <v>3.8855489750160843</v>
      </c>
      <c r="C194" s="83">
        <v>-0.72120346664387291</v>
      </c>
      <c r="D194" s="83">
        <v>2.0938554184684763</v>
      </c>
      <c r="E194" s="83">
        <v>-1.1831443937376225</v>
      </c>
      <c r="F194" s="83"/>
      <c r="G194" s="26"/>
    </row>
    <row r="195" spans="1:7" x14ac:dyDescent="0.35">
      <c r="A195" s="20">
        <v>191</v>
      </c>
      <c r="B195" s="83">
        <v>2.0825821617993974</v>
      </c>
      <c r="C195" s="83">
        <v>0.38503063925953523</v>
      </c>
      <c r="D195" s="83">
        <v>2.1637425773107708</v>
      </c>
      <c r="E195" s="83">
        <v>-1.5476341692489159</v>
      </c>
      <c r="F195" s="83"/>
      <c r="G195" s="26"/>
    </row>
    <row r="196" spans="1:7" x14ac:dyDescent="0.35">
      <c r="A196" s="20">
        <v>192</v>
      </c>
      <c r="B196" s="83">
        <v>6.8339373228461868</v>
      </c>
      <c r="C196" s="83">
        <v>1.2275274590726339</v>
      </c>
      <c r="D196" s="83">
        <v>1.1065935968798553</v>
      </c>
      <c r="E196" s="83">
        <v>0.33849846639224013</v>
      </c>
      <c r="F196" s="83"/>
      <c r="G196" s="26"/>
    </row>
    <row r="197" spans="1:7" x14ac:dyDescent="0.35">
      <c r="A197" s="20">
        <v>193</v>
      </c>
      <c r="B197" s="83">
        <v>0.94584670863704345</v>
      </c>
      <c r="C197" s="83">
        <v>0.77416503454200492</v>
      </c>
      <c r="D197" s="83">
        <v>0.76354516706640729</v>
      </c>
      <c r="E197" s="83">
        <v>1.2243304790106685E-2</v>
      </c>
      <c r="F197" s="83"/>
      <c r="G197" s="26"/>
    </row>
    <row r="198" spans="1:7" x14ac:dyDescent="0.35">
      <c r="A198" s="20">
        <v>194</v>
      </c>
      <c r="B198" s="83">
        <v>1.6845916112298123</v>
      </c>
      <c r="C198" s="83">
        <v>4.673178488170727</v>
      </c>
      <c r="D198" s="83">
        <v>-0.14741945785938138</v>
      </c>
      <c r="E198" s="83">
        <v>-2.5353446247658811</v>
      </c>
      <c r="F198" s="83"/>
      <c r="G198" s="26"/>
    </row>
    <row r="199" spans="1:7" x14ac:dyDescent="0.35">
      <c r="A199" s="20">
        <v>195</v>
      </c>
      <c r="B199" s="83">
        <v>-0.91559093378466416</v>
      </c>
      <c r="C199" s="83">
        <v>2.3119967851394216</v>
      </c>
      <c r="D199" s="83">
        <v>1.7744567764646937</v>
      </c>
      <c r="E199" s="83">
        <v>-2.3862847071806934</v>
      </c>
      <c r="F199" s="83"/>
      <c r="G199" s="26"/>
    </row>
    <row r="200" spans="1:7" x14ac:dyDescent="0.35">
      <c r="A200" s="20">
        <v>196</v>
      </c>
      <c r="B200" s="83">
        <v>2.3303570711492689</v>
      </c>
      <c r="C200" s="83">
        <v>0.57249598964639825</v>
      </c>
      <c r="D200" s="83">
        <v>3.3914907330192992</v>
      </c>
      <c r="E200" s="83">
        <v>-1.4487385355886335</v>
      </c>
      <c r="F200" s="83"/>
      <c r="G200" s="26"/>
    </row>
    <row r="201" spans="1:7" x14ac:dyDescent="0.35">
      <c r="A201" s="20">
        <v>197</v>
      </c>
      <c r="B201" s="83">
        <v>-2.161100445987429</v>
      </c>
      <c r="C201" s="83">
        <v>5.0934668422571505</v>
      </c>
      <c r="D201" s="83">
        <v>3.1937335772153945</v>
      </c>
      <c r="E201" s="83">
        <v>0.82772523282172972</v>
      </c>
      <c r="F201" s="83"/>
      <c r="G201" s="26"/>
    </row>
    <row r="202" spans="1:7" x14ac:dyDescent="0.35">
      <c r="A202" s="20">
        <v>198</v>
      </c>
      <c r="B202" s="83">
        <v>2.2924426242458189</v>
      </c>
      <c r="C202" s="83">
        <v>-4.7818054346223455</v>
      </c>
      <c r="D202" s="83">
        <v>-1.8479511614478787</v>
      </c>
      <c r="E202" s="83">
        <v>1.5066586894913438</v>
      </c>
      <c r="F202" s="83"/>
      <c r="G202" s="26"/>
    </row>
    <row r="203" spans="1:7" x14ac:dyDescent="0.35">
      <c r="A203" s="20">
        <v>199</v>
      </c>
      <c r="B203" s="83">
        <v>3.8767131769570877</v>
      </c>
      <c r="C203" s="83">
        <v>0.63242862568085245</v>
      </c>
      <c r="D203" s="83">
        <v>-2.0785197427515829</v>
      </c>
      <c r="E203" s="83">
        <v>4.6014202768044266</v>
      </c>
      <c r="F203" s="83"/>
      <c r="G203" s="26"/>
    </row>
    <row r="204" spans="1:7" x14ac:dyDescent="0.35">
      <c r="A204" s="20">
        <v>200</v>
      </c>
      <c r="B204" s="83">
        <v>6.4074687696240158</v>
      </c>
      <c r="C204" s="83">
        <v>2.1147032312837459</v>
      </c>
      <c r="D204" s="83">
        <v>0.51167054273986579</v>
      </c>
      <c r="E204" s="83">
        <v>2.5392529970810651</v>
      </c>
      <c r="F204" s="83"/>
      <c r="G204" s="26"/>
    </row>
    <row r="205" spans="1:7" x14ac:dyDescent="0.35">
      <c r="A205" s="20">
        <v>201</v>
      </c>
      <c r="B205" s="83">
        <v>-0.25879109990431859</v>
      </c>
      <c r="C205" s="83">
        <v>-6.9875584198194991</v>
      </c>
      <c r="D205" s="83">
        <v>-2.1598055949259942</v>
      </c>
      <c r="E205" s="83">
        <v>-2.4883675697750092</v>
      </c>
      <c r="F205" s="83"/>
      <c r="G205" s="26"/>
    </row>
    <row r="206" spans="1:7" x14ac:dyDescent="0.35">
      <c r="A206" s="20">
        <v>202</v>
      </c>
      <c r="B206" s="83">
        <v>-0.8800477052032738</v>
      </c>
      <c r="C206" s="83">
        <v>2.1972127189022319</v>
      </c>
      <c r="D206" s="83">
        <v>2.3038567470935547</v>
      </c>
      <c r="E206" s="83">
        <v>-1.5802740337715853</v>
      </c>
      <c r="F206" s="83"/>
      <c r="G206" s="26"/>
    </row>
    <row r="207" spans="1:7" x14ac:dyDescent="0.35">
      <c r="A207" s="20">
        <v>203</v>
      </c>
      <c r="B207" s="83">
        <v>-2.0262652506239913</v>
      </c>
      <c r="C207" s="83">
        <v>2.2534477462112639</v>
      </c>
      <c r="D207" s="83">
        <v>15.201078232492694</v>
      </c>
      <c r="E207" s="83">
        <v>0.47839670102656728</v>
      </c>
      <c r="F207" s="83"/>
      <c r="G207" s="26"/>
    </row>
    <row r="208" spans="1:7" x14ac:dyDescent="0.35">
      <c r="A208" s="20">
        <v>204</v>
      </c>
      <c r="B208" s="83">
        <v>-6.0512591324544225</v>
      </c>
      <c r="C208" s="83">
        <v>-3.6162475394038118</v>
      </c>
      <c r="D208" s="83">
        <v>-1.2183133460229136</v>
      </c>
      <c r="E208" s="83">
        <v>-3.2831459547704536</v>
      </c>
      <c r="F208" s="83"/>
      <c r="G208" s="26"/>
    </row>
    <row r="209" spans="1:7" x14ac:dyDescent="0.35">
      <c r="A209" s="20">
        <v>205</v>
      </c>
      <c r="B209" s="83">
        <v>-0.27646647513427469</v>
      </c>
      <c r="C209" s="83">
        <v>0.45677392440185838</v>
      </c>
      <c r="D209" s="83">
        <v>-0.12431158896236871</v>
      </c>
      <c r="E209" s="83">
        <v>1.0423431660106546</v>
      </c>
      <c r="F209" s="83"/>
      <c r="G209" s="26"/>
    </row>
    <row r="210" spans="1:7" x14ac:dyDescent="0.35">
      <c r="A210" s="20">
        <v>206</v>
      </c>
      <c r="B210" s="83">
        <v>-2.6352631239100557</v>
      </c>
      <c r="C210" s="83">
        <v>1.4554408287389737</v>
      </c>
      <c r="D210" s="83">
        <v>-1.6412832744143622</v>
      </c>
      <c r="E210" s="83">
        <v>0.97662722472787489</v>
      </c>
      <c r="F210" s="83"/>
      <c r="G210" s="26"/>
    </row>
    <row r="211" spans="1:7" x14ac:dyDescent="0.35">
      <c r="A211" s="20">
        <v>207</v>
      </c>
      <c r="B211" s="83">
        <v>0.14263508539375835</v>
      </c>
      <c r="C211" s="83">
        <v>3.0320700895910568</v>
      </c>
      <c r="D211" s="83">
        <v>0.87981754226290998</v>
      </c>
      <c r="E211" s="83">
        <v>2.6633113347822501</v>
      </c>
      <c r="F211" s="83"/>
      <c r="G211" s="26"/>
    </row>
    <row r="212" spans="1:7" ht="15" thickBot="1" x14ac:dyDescent="0.4">
      <c r="A212" s="21">
        <v>208</v>
      </c>
      <c r="B212" s="87">
        <v>1.2982600284822015</v>
      </c>
      <c r="C212" s="87">
        <v>-10.707146568794863</v>
      </c>
      <c r="D212" s="87">
        <v>-0.23236008974726413</v>
      </c>
      <c r="E212" s="87">
        <v>1.1673599475599779</v>
      </c>
      <c r="F212" s="87"/>
      <c r="G212" s="26"/>
    </row>
  </sheetData>
  <mergeCells count="2">
    <mergeCell ref="B2:E2"/>
    <mergeCell ref="H4:L4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234"/>
  <sheetViews>
    <sheetView topLeftCell="D16" workbookViewId="0">
      <selection activeCell="J23" sqref="J23"/>
    </sheetView>
  </sheetViews>
  <sheetFormatPr defaultRowHeight="14.5" x14ac:dyDescent="0.35"/>
  <cols>
    <col min="1" max="1" width="25.54296875" bestFit="1" customWidth="1"/>
    <col min="2" max="2" width="16.81640625" bestFit="1" customWidth="1"/>
    <col min="3" max="3" width="20.1796875" bestFit="1" customWidth="1"/>
    <col min="4" max="5" width="11.81640625" bestFit="1" customWidth="1"/>
    <col min="6" max="6" width="3.36328125" customWidth="1"/>
    <col min="7" max="7" width="24.90625" bestFit="1" customWidth="1"/>
    <col min="8" max="8" width="16.26953125" bestFit="1" customWidth="1"/>
    <col min="9" max="9" width="19.1796875" bestFit="1" customWidth="1"/>
    <col min="10" max="10" width="12.453125" bestFit="1" customWidth="1"/>
    <col min="11" max="11" width="11.81640625" bestFit="1" customWidth="1"/>
    <col min="14" max="14" width="22.81640625" bestFit="1" customWidth="1"/>
    <col min="15" max="16" width="9.36328125" bestFit="1" customWidth="1"/>
    <col min="17" max="17" width="6.81640625" bestFit="1" customWidth="1"/>
    <col min="18" max="18" width="8.453125" bestFit="1" customWidth="1"/>
  </cols>
  <sheetData>
    <row r="1" spans="1:20" x14ac:dyDescent="0.35">
      <c r="A1" t="s">
        <v>102</v>
      </c>
      <c r="G1" t="s">
        <v>111</v>
      </c>
      <c r="N1" s="135" t="s">
        <v>82</v>
      </c>
      <c r="O1" s="136"/>
      <c r="P1" s="136"/>
      <c r="Q1" s="136"/>
      <c r="R1" s="136"/>
      <c r="S1" s="137"/>
      <c r="T1" s="138"/>
    </row>
    <row r="2" spans="1:20" ht="16" thickBot="1" x14ac:dyDescent="0.4">
      <c r="C2" s="61" t="s">
        <v>106</v>
      </c>
      <c r="I2" s="61" t="s">
        <v>106</v>
      </c>
      <c r="N2" s="139"/>
      <c r="O2" s="140"/>
      <c r="P2" s="140"/>
      <c r="Q2" s="140"/>
      <c r="R2" s="140"/>
      <c r="S2" s="110"/>
      <c r="T2" s="141"/>
    </row>
    <row r="3" spans="1:20" ht="15.5" x14ac:dyDescent="0.35">
      <c r="A3" s="23" t="s">
        <v>27</v>
      </c>
      <c r="B3" s="23"/>
      <c r="C3" s="61" t="s">
        <v>107</v>
      </c>
      <c r="G3" s="23" t="s">
        <v>27</v>
      </c>
      <c r="H3" s="23"/>
      <c r="I3" s="61" t="s">
        <v>107</v>
      </c>
      <c r="N3" s="37"/>
      <c r="O3" s="38"/>
      <c r="P3" s="38"/>
      <c r="Q3" s="38"/>
      <c r="R3" s="38"/>
      <c r="S3" s="38"/>
      <c r="T3" s="39"/>
    </row>
    <row r="4" spans="1:20" ht="15.5" x14ac:dyDescent="0.35">
      <c r="A4" s="20" t="s">
        <v>28</v>
      </c>
      <c r="B4" s="83">
        <v>0.49769932122486099</v>
      </c>
      <c r="C4" s="61"/>
      <c r="D4" s="62"/>
      <c r="G4" s="20" t="s">
        <v>28</v>
      </c>
      <c r="H4" s="83">
        <v>0.64881654144466117</v>
      </c>
      <c r="I4" s="61"/>
      <c r="J4" s="62"/>
      <c r="N4" s="40"/>
      <c r="O4" s="15" t="s">
        <v>2</v>
      </c>
      <c r="P4" s="60" t="s">
        <v>1</v>
      </c>
      <c r="Q4" s="60" t="s">
        <v>60</v>
      </c>
      <c r="R4" s="16" t="s">
        <v>37</v>
      </c>
      <c r="S4" s="41"/>
      <c r="T4" s="42"/>
    </row>
    <row r="5" spans="1:20" ht="15.5" x14ac:dyDescent="0.35">
      <c r="A5" s="20" t="s">
        <v>29</v>
      </c>
      <c r="B5" s="83">
        <v>0.24770461434768737</v>
      </c>
      <c r="C5" s="61"/>
      <c r="D5" s="62"/>
      <c r="G5" s="20" t="s">
        <v>29</v>
      </c>
      <c r="H5" s="83">
        <v>0.42096290445221174</v>
      </c>
      <c r="I5" s="61"/>
      <c r="J5" s="62"/>
      <c r="N5" s="67" t="s">
        <v>71</v>
      </c>
      <c r="O5" s="68">
        <f t="array" ref="O5:R9">LINEST(BNCN,Returns!B2:D209,TRUE,TRUE)</f>
        <v>0.66704900496053565</v>
      </c>
      <c r="P5" s="68">
        <v>0.90915673480375125</v>
      </c>
      <c r="Q5" s="68">
        <v>0.60846662950604313</v>
      </c>
      <c r="R5" s="68">
        <v>0.42727813410058491</v>
      </c>
      <c r="S5" s="130" t="s">
        <v>72</v>
      </c>
      <c r="T5" s="132"/>
    </row>
    <row r="6" spans="1:20" x14ac:dyDescent="0.35">
      <c r="A6" s="20" t="s">
        <v>30</v>
      </c>
      <c r="B6" s="83">
        <v>0.23664144691162392</v>
      </c>
      <c r="C6" s="66" t="s">
        <v>112</v>
      </c>
      <c r="D6" s="62"/>
      <c r="G6" s="20" t="s">
        <v>30</v>
      </c>
      <c r="H6" s="83">
        <v>0.41244765304709718</v>
      </c>
      <c r="I6" s="20" t="s">
        <v>113</v>
      </c>
      <c r="J6" s="62"/>
      <c r="N6" s="69" t="s">
        <v>73</v>
      </c>
      <c r="O6" s="70">
        <v>0.20838007500580302</v>
      </c>
      <c r="P6" s="70">
        <v>0.21008751645379917</v>
      </c>
      <c r="Q6" s="70">
        <v>0.13108315542393661</v>
      </c>
      <c r="R6" s="70">
        <v>0.21523327520843633</v>
      </c>
      <c r="S6" s="130" t="s">
        <v>74</v>
      </c>
      <c r="T6" s="132"/>
    </row>
    <row r="7" spans="1:20" ht="15.5" x14ac:dyDescent="0.35">
      <c r="A7" s="20" t="s">
        <v>31</v>
      </c>
      <c r="B7" s="84">
        <v>3.0625202157310216</v>
      </c>
      <c r="C7" s="63">
        <f>B7*(52^0.5)</f>
        <v>22.084147339926471</v>
      </c>
      <c r="D7" s="62"/>
      <c r="G7" s="20" t="s">
        <v>31</v>
      </c>
      <c r="H7" s="84">
        <v>3.1598391123802432</v>
      </c>
      <c r="I7" s="63">
        <f>H7*(52^0.5)</f>
        <v>22.785923883807172</v>
      </c>
      <c r="J7" s="62"/>
      <c r="N7" s="69" t="s">
        <v>75</v>
      </c>
      <c r="O7" s="70">
        <v>0.24770461434768737</v>
      </c>
      <c r="P7" s="70">
        <v>3.0625202157310216</v>
      </c>
      <c r="Q7" s="70" t="e">
        <v>#N/A</v>
      </c>
      <c r="R7" s="70" t="e">
        <v>#N/A</v>
      </c>
      <c r="S7" s="130" t="s">
        <v>76</v>
      </c>
      <c r="T7" s="132"/>
    </row>
    <row r="8" spans="1:20" ht="16" thickBot="1" x14ac:dyDescent="0.4">
      <c r="A8" s="21" t="s">
        <v>32</v>
      </c>
      <c r="B8" s="21">
        <v>208</v>
      </c>
      <c r="C8" s="123" t="s">
        <v>108</v>
      </c>
      <c r="D8" s="106"/>
      <c r="G8" s="21" t="s">
        <v>32</v>
      </c>
      <c r="H8" s="21">
        <v>208</v>
      </c>
      <c r="I8" s="123" t="s">
        <v>109</v>
      </c>
      <c r="J8" s="106"/>
      <c r="N8" s="69" t="s">
        <v>77</v>
      </c>
      <c r="O8" s="70">
        <v>22.390026706115503</v>
      </c>
      <c r="P8" s="98">
        <v>204</v>
      </c>
      <c r="Q8" s="70" t="e">
        <v>#N/A</v>
      </c>
      <c r="R8" s="70" t="e">
        <v>#N/A</v>
      </c>
      <c r="S8" s="130" t="s">
        <v>78</v>
      </c>
      <c r="T8" s="132"/>
    </row>
    <row r="9" spans="1:20" x14ac:dyDescent="0.35">
      <c r="N9" s="71" t="s">
        <v>79</v>
      </c>
      <c r="O9" s="72">
        <v>629.99020135257979</v>
      </c>
      <c r="P9" s="72">
        <v>1913.3221346392811</v>
      </c>
      <c r="Q9" s="72" t="e">
        <v>#N/A</v>
      </c>
      <c r="R9" s="72" t="e">
        <v>#N/A</v>
      </c>
      <c r="S9" s="133" t="s">
        <v>80</v>
      </c>
      <c r="T9" s="134"/>
    </row>
    <row r="10" spans="1:20" ht="15" thickBot="1" x14ac:dyDescent="0.4">
      <c r="A10" t="s">
        <v>33</v>
      </c>
      <c r="G10" t="s">
        <v>33</v>
      </c>
      <c r="N10" s="26"/>
      <c r="O10" s="26"/>
      <c r="P10" s="26"/>
      <c r="Q10" s="26"/>
      <c r="R10" s="26"/>
      <c r="S10" s="26"/>
      <c r="T10" s="26"/>
    </row>
    <row r="11" spans="1:20" ht="15" thickBot="1" x14ac:dyDescent="0.4">
      <c r="A11" s="22"/>
      <c r="B11" s="22" t="s">
        <v>38</v>
      </c>
      <c r="C11" s="22" t="s">
        <v>39</v>
      </c>
      <c r="D11" s="22" t="s">
        <v>40</v>
      </c>
      <c r="E11" s="22" t="s">
        <v>41</v>
      </c>
      <c r="G11" s="22"/>
      <c r="H11" s="22" t="s">
        <v>38</v>
      </c>
      <c r="I11" s="22" t="s">
        <v>39</v>
      </c>
      <c r="J11" s="22" t="s">
        <v>40</v>
      </c>
      <c r="K11" s="22" t="s">
        <v>41</v>
      </c>
      <c r="N11" s="26"/>
      <c r="O11" s="26"/>
      <c r="P11" s="26"/>
      <c r="Q11" s="26"/>
      <c r="R11" s="26"/>
      <c r="S11" s="26"/>
      <c r="T11" s="26"/>
    </row>
    <row r="12" spans="1:20" x14ac:dyDescent="0.35">
      <c r="A12" s="20" t="s">
        <v>34</v>
      </c>
      <c r="B12" s="20">
        <v>3</v>
      </c>
      <c r="C12" s="83">
        <v>629.99020135257979</v>
      </c>
      <c r="D12" s="83">
        <v>209.99673378419325</v>
      </c>
      <c r="E12" s="83">
        <v>22.390026706115503</v>
      </c>
      <c r="G12" s="20" t="s">
        <v>34</v>
      </c>
      <c r="H12" s="20">
        <v>3</v>
      </c>
      <c r="I12" s="83">
        <v>1480.8038954251517</v>
      </c>
      <c r="J12" s="83">
        <v>493.60129847505056</v>
      </c>
      <c r="K12" s="83">
        <v>49.436344791812949</v>
      </c>
      <c r="N12" s="124" t="s">
        <v>83</v>
      </c>
      <c r="O12" s="125"/>
      <c r="P12" s="125"/>
      <c r="Q12" s="125"/>
      <c r="R12" s="125"/>
      <c r="S12" s="126"/>
      <c r="T12" s="127"/>
    </row>
    <row r="13" spans="1:20" x14ac:dyDescent="0.35">
      <c r="A13" s="20" t="s">
        <v>35</v>
      </c>
      <c r="B13" s="20">
        <v>204</v>
      </c>
      <c r="C13" s="83">
        <v>1913.3221346392811</v>
      </c>
      <c r="D13" s="83">
        <v>9.3790300717611821</v>
      </c>
      <c r="E13" s="83"/>
      <c r="G13" s="20" t="s">
        <v>35</v>
      </c>
      <c r="H13" s="20">
        <v>204</v>
      </c>
      <c r="I13" s="83">
        <v>2036.8549760901044</v>
      </c>
      <c r="J13" s="83">
        <v>9.9845832161279624</v>
      </c>
      <c r="K13" s="83"/>
      <c r="N13" s="128"/>
      <c r="O13" s="129"/>
      <c r="P13" s="129"/>
      <c r="Q13" s="129"/>
      <c r="R13" s="129"/>
      <c r="S13" s="130"/>
      <c r="T13" s="131"/>
    </row>
    <row r="14" spans="1:20" ht="15" thickBot="1" x14ac:dyDescent="0.4">
      <c r="A14" s="21" t="s">
        <v>36</v>
      </c>
      <c r="B14" s="21">
        <v>207</v>
      </c>
      <c r="C14" s="87">
        <v>2543.3123359918609</v>
      </c>
      <c r="D14" s="87"/>
      <c r="E14" s="87"/>
      <c r="G14" s="21" t="s">
        <v>36</v>
      </c>
      <c r="H14" s="21">
        <v>207</v>
      </c>
      <c r="I14" s="87">
        <v>3517.6588715152561</v>
      </c>
      <c r="J14" s="87"/>
      <c r="K14" s="87"/>
      <c r="N14" s="73"/>
      <c r="O14" s="74"/>
      <c r="P14" s="74"/>
      <c r="Q14" s="74"/>
      <c r="R14" s="74"/>
      <c r="S14" s="74"/>
      <c r="T14" s="75"/>
    </row>
    <row r="15" spans="1:20" ht="15" thickBot="1" x14ac:dyDescent="0.4">
      <c r="N15" s="76"/>
      <c r="O15" s="36" t="s">
        <v>2</v>
      </c>
      <c r="P15" s="77" t="s">
        <v>1</v>
      </c>
      <c r="Q15" s="77" t="s">
        <v>60</v>
      </c>
      <c r="R15" s="78" t="s">
        <v>37</v>
      </c>
      <c r="S15" s="79"/>
      <c r="T15" s="80"/>
    </row>
    <row r="16" spans="1:20" ht="15.5" x14ac:dyDescent="0.35">
      <c r="A16" s="22"/>
      <c r="B16" s="22" t="s">
        <v>43</v>
      </c>
      <c r="C16" s="22" t="s">
        <v>31</v>
      </c>
      <c r="D16" s="22" t="s">
        <v>44</v>
      </c>
      <c r="E16" s="22" t="s">
        <v>45</v>
      </c>
      <c r="G16" s="22"/>
      <c r="H16" s="22" t="s">
        <v>43</v>
      </c>
      <c r="I16" s="22" t="s">
        <v>31</v>
      </c>
      <c r="J16" s="22" t="s">
        <v>44</v>
      </c>
      <c r="K16" s="22" t="s">
        <v>45</v>
      </c>
      <c r="N16" s="67" t="s">
        <v>71</v>
      </c>
      <c r="O16" s="68">
        <f t="array" ref="O16:R20">LINEST(CELG,Returns!B2:D209,TRUE,TRUE)</f>
        <v>-1.3204850601022127</v>
      </c>
      <c r="P16" s="68">
        <v>-0.15470346946411201</v>
      </c>
      <c r="Q16" s="68">
        <v>1.4220812541623633</v>
      </c>
      <c r="R16" s="68">
        <v>0.19647852020638867</v>
      </c>
      <c r="S16" s="130" t="s">
        <v>72</v>
      </c>
      <c r="T16" s="132"/>
    </row>
    <row r="17" spans="1:20" x14ac:dyDescent="0.35">
      <c r="A17" s="20" t="s">
        <v>37</v>
      </c>
      <c r="B17" s="83">
        <v>0.42727813410058491</v>
      </c>
      <c r="C17" s="83">
        <v>0.21523327520843633</v>
      </c>
      <c r="D17" s="83">
        <v>1.9851862296236489</v>
      </c>
      <c r="E17" s="83">
        <v>4.846347110757615E-2</v>
      </c>
      <c r="G17" s="20" t="s">
        <v>37</v>
      </c>
      <c r="H17" s="83">
        <v>0.19647852020638867</v>
      </c>
      <c r="I17" s="81">
        <v>0.22207282675095033</v>
      </c>
      <c r="J17" s="81">
        <v>0.88474813907212024</v>
      </c>
      <c r="K17" s="81">
        <v>0.37733408840630001</v>
      </c>
      <c r="N17" s="69" t="s">
        <v>73</v>
      </c>
      <c r="O17" s="70">
        <v>0.21500184973861278</v>
      </c>
      <c r="P17" s="70">
        <v>0.21676354921793836</v>
      </c>
      <c r="Q17" s="70">
        <v>0.13524863586374847</v>
      </c>
      <c r="R17" s="70">
        <v>0.22207282675095033</v>
      </c>
      <c r="S17" s="130" t="s">
        <v>74</v>
      </c>
      <c r="T17" s="132"/>
    </row>
    <row r="18" spans="1:20" x14ac:dyDescent="0.35">
      <c r="A18" s="20" t="s">
        <v>0</v>
      </c>
      <c r="B18" s="84">
        <v>0.60846662950604313</v>
      </c>
      <c r="C18" s="83">
        <v>0.13108315542393661</v>
      </c>
      <c r="D18" s="83">
        <v>4.6418369128985226</v>
      </c>
      <c r="E18" s="83">
        <v>6.1745686021692469E-6</v>
      </c>
      <c r="G18" s="20" t="s">
        <v>0</v>
      </c>
      <c r="H18" s="84">
        <v>1.4220812541623633</v>
      </c>
      <c r="I18" s="81">
        <v>0.13524863586374847</v>
      </c>
      <c r="J18" s="81">
        <v>10.514570036735821</v>
      </c>
      <c r="K18" s="81">
        <v>6.1221055606327537E-21</v>
      </c>
      <c r="N18" s="69" t="s">
        <v>75</v>
      </c>
      <c r="O18" s="70">
        <v>0.42096290445221174</v>
      </c>
      <c r="P18" s="70">
        <v>3.1598391123802432</v>
      </c>
      <c r="Q18" s="70" t="e">
        <v>#N/A</v>
      </c>
      <c r="R18" s="70" t="e">
        <v>#N/A</v>
      </c>
      <c r="S18" s="130" t="s">
        <v>76</v>
      </c>
      <c r="T18" s="132"/>
    </row>
    <row r="19" spans="1:20" x14ac:dyDescent="0.35">
      <c r="A19" s="20" t="s">
        <v>1</v>
      </c>
      <c r="B19" s="84">
        <v>0.90915673480375125</v>
      </c>
      <c r="C19" s="83">
        <v>0.21008751645379917</v>
      </c>
      <c r="D19" s="83">
        <v>4.3275143147483774</v>
      </c>
      <c r="E19" s="83">
        <v>2.3608835750238805E-5</v>
      </c>
      <c r="G19" s="20" t="s">
        <v>1</v>
      </c>
      <c r="H19" s="84">
        <v>-0.15470346946411201</v>
      </c>
      <c r="I19" s="81">
        <v>0.21676354921793836</v>
      </c>
      <c r="J19" s="81">
        <v>-0.7136968831810836</v>
      </c>
      <c r="K19" s="81">
        <v>0.47623035213637055</v>
      </c>
      <c r="N19" s="69" t="s">
        <v>77</v>
      </c>
      <c r="O19" s="70">
        <v>49.436344791812949</v>
      </c>
      <c r="P19" s="98">
        <v>204</v>
      </c>
      <c r="Q19" s="70" t="e">
        <v>#N/A</v>
      </c>
      <c r="R19" s="70" t="e">
        <v>#N/A</v>
      </c>
      <c r="S19" s="130" t="s">
        <v>78</v>
      </c>
      <c r="T19" s="132"/>
    </row>
    <row r="20" spans="1:20" ht="15" thickBot="1" x14ac:dyDescent="0.4">
      <c r="A20" s="21" t="s">
        <v>2</v>
      </c>
      <c r="B20" s="85">
        <v>0.66704900496053565</v>
      </c>
      <c r="C20" s="87">
        <v>0.20838007500580302</v>
      </c>
      <c r="D20" s="87">
        <v>3.2011170211065503</v>
      </c>
      <c r="E20" s="87">
        <v>1.5879047203206354E-3</v>
      </c>
      <c r="G20" s="21" t="s">
        <v>2</v>
      </c>
      <c r="H20" s="85">
        <v>-1.3204850601022127</v>
      </c>
      <c r="I20" s="82">
        <v>0.21500184973861278</v>
      </c>
      <c r="J20" s="82">
        <v>-6.1417381371722364</v>
      </c>
      <c r="K20" s="82">
        <v>4.2018120381539165E-9</v>
      </c>
      <c r="N20" s="71" t="s">
        <v>79</v>
      </c>
      <c r="O20" s="72">
        <v>1480.8038954251517</v>
      </c>
      <c r="P20" s="72">
        <v>2036.8549760901044</v>
      </c>
      <c r="Q20" s="72" t="e">
        <v>#N/A</v>
      </c>
      <c r="R20" s="72" t="e">
        <v>#N/A</v>
      </c>
      <c r="S20" s="133" t="s">
        <v>80</v>
      </c>
      <c r="T20" s="134"/>
    </row>
    <row r="21" spans="1:20" x14ac:dyDescent="0.35">
      <c r="H21" s="26"/>
    </row>
    <row r="22" spans="1:20" x14ac:dyDescent="0.35">
      <c r="A22" s="64" t="s">
        <v>110</v>
      </c>
      <c r="B22" s="86">
        <v>0.79442742209325934</v>
      </c>
      <c r="G22" s="65" t="s">
        <v>110</v>
      </c>
      <c r="H22" s="86">
        <v>1.3558838533999298</v>
      </c>
    </row>
    <row r="24" spans="1:20" x14ac:dyDescent="0.35">
      <c r="A24" t="s">
        <v>50</v>
      </c>
      <c r="G24" t="s">
        <v>50</v>
      </c>
    </row>
    <row r="25" spans="1:20" ht="15" thickBot="1" x14ac:dyDescent="0.4"/>
    <row r="26" spans="1:20" x14ac:dyDescent="0.35">
      <c r="A26" s="22" t="s">
        <v>51</v>
      </c>
      <c r="B26" s="22" t="s">
        <v>96</v>
      </c>
      <c r="C26" s="22" t="s">
        <v>52</v>
      </c>
      <c r="G26" s="22" t="s">
        <v>51</v>
      </c>
      <c r="H26" s="22" t="s">
        <v>98</v>
      </c>
      <c r="I26" s="22" t="s">
        <v>52</v>
      </c>
    </row>
    <row r="27" spans="1:20" x14ac:dyDescent="0.35">
      <c r="A27" s="20">
        <v>1</v>
      </c>
      <c r="B27" s="83">
        <v>2.5751507447570661</v>
      </c>
      <c r="C27" s="83">
        <v>-3.2348907993729825</v>
      </c>
      <c r="G27" s="20">
        <v>1</v>
      </c>
      <c r="H27" s="83">
        <v>1.5846812295033614</v>
      </c>
      <c r="I27" s="83">
        <v>-2.3375659406110394</v>
      </c>
    </row>
    <row r="28" spans="1:20" x14ac:dyDescent="0.35">
      <c r="A28" s="20">
        <v>2</v>
      </c>
      <c r="B28" s="83">
        <v>3.0509760151607086</v>
      </c>
      <c r="C28" s="83">
        <v>7.9907235412703539</v>
      </c>
      <c r="G28" s="20">
        <v>2</v>
      </c>
      <c r="H28" s="83">
        <v>5.2443450976030759E-2</v>
      </c>
      <c r="I28" s="83">
        <v>2.0312837887416713</v>
      </c>
    </row>
    <row r="29" spans="1:20" x14ac:dyDescent="0.35">
      <c r="A29" s="20">
        <v>3</v>
      </c>
      <c r="B29" s="83">
        <v>10.429574819962545</v>
      </c>
      <c r="C29" s="83">
        <v>2.3941027837076962</v>
      </c>
      <c r="G29" s="20">
        <v>3</v>
      </c>
      <c r="H29" s="83">
        <v>2.5654558889120733</v>
      </c>
      <c r="I29" s="83">
        <v>11.821153596910458</v>
      </c>
    </row>
    <row r="30" spans="1:20" x14ac:dyDescent="0.35">
      <c r="A30" s="20">
        <v>4</v>
      </c>
      <c r="B30" s="83">
        <v>-0.41261688466152835</v>
      </c>
      <c r="C30" s="83">
        <v>-3.2503218460240486</v>
      </c>
      <c r="G30" s="20">
        <v>4</v>
      </c>
      <c r="H30" s="83">
        <v>-3.9441189504523475</v>
      </c>
      <c r="I30" s="83">
        <v>3.4964025948545818</v>
      </c>
    </row>
    <row r="31" spans="1:20" x14ac:dyDescent="0.35">
      <c r="A31" s="20">
        <v>5</v>
      </c>
      <c r="B31" s="83">
        <v>-1.2238794203143177</v>
      </c>
      <c r="C31" s="83">
        <v>4.4655960308398939</v>
      </c>
      <c r="G31" s="20">
        <v>5</v>
      </c>
      <c r="H31" s="83">
        <v>-2.4232645282041316</v>
      </c>
      <c r="I31" s="83">
        <v>7.3411176443947763</v>
      </c>
    </row>
    <row r="32" spans="1:20" x14ac:dyDescent="0.35">
      <c r="A32" s="20">
        <v>6</v>
      </c>
      <c r="B32" s="83">
        <v>0.82365748112752979</v>
      </c>
      <c r="C32" s="83">
        <v>-0.41443536096753542</v>
      </c>
      <c r="G32" s="20">
        <v>6</v>
      </c>
      <c r="H32" s="83">
        <v>2.1462950530443003E-2</v>
      </c>
      <c r="I32" s="83">
        <v>0.38992085092058093</v>
      </c>
    </row>
    <row r="33" spans="1:9" x14ac:dyDescent="0.35">
      <c r="A33" s="20">
        <v>7</v>
      </c>
      <c r="B33" s="83">
        <v>-0.947384247032796</v>
      </c>
      <c r="C33" s="83">
        <v>0.28304516669742752</v>
      </c>
      <c r="G33" s="20">
        <v>7</v>
      </c>
      <c r="H33" s="83">
        <v>-2.0145571730662328</v>
      </c>
      <c r="I33" s="83">
        <v>-3.4901629741062457</v>
      </c>
    </row>
    <row r="34" spans="1:9" x14ac:dyDescent="0.35">
      <c r="A34" s="20">
        <v>8</v>
      </c>
      <c r="B34" s="83">
        <v>0.45059347673289674</v>
      </c>
      <c r="C34" s="83">
        <v>-0.49571689795353152</v>
      </c>
      <c r="G34" s="20">
        <v>8</v>
      </c>
      <c r="H34" s="83">
        <v>-2.1858153503672271</v>
      </c>
      <c r="I34" s="83">
        <v>1.7407801175456028</v>
      </c>
    </row>
    <row r="35" spans="1:9" x14ac:dyDescent="0.35">
      <c r="A35" s="20">
        <v>9</v>
      </c>
      <c r="B35" s="83">
        <v>1.218548680183243</v>
      </c>
      <c r="C35" s="83">
        <v>-3.8211027083963023</v>
      </c>
      <c r="G35" s="20">
        <v>9</v>
      </c>
      <c r="H35" s="83">
        <v>-1.1144392664427185</v>
      </c>
      <c r="I35" s="83">
        <v>-3.4716580787940368</v>
      </c>
    </row>
    <row r="36" spans="1:9" x14ac:dyDescent="0.35">
      <c r="A36" s="20">
        <v>10</v>
      </c>
      <c r="B36" s="83">
        <v>2.0272562443221918</v>
      </c>
      <c r="C36" s="83">
        <v>-1.6710298936352632</v>
      </c>
      <c r="G36" s="20">
        <v>10</v>
      </c>
      <c r="H36" s="83">
        <v>2.1482483490659963</v>
      </c>
      <c r="I36" s="83">
        <v>-1.33661859087603</v>
      </c>
    </row>
    <row r="37" spans="1:9" x14ac:dyDescent="0.35">
      <c r="A37" s="20">
        <v>11</v>
      </c>
      <c r="B37" s="83">
        <v>-0.45535185933058164</v>
      </c>
      <c r="C37" s="83">
        <v>-0.39049144879152009</v>
      </c>
      <c r="G37" s="20">
        <v>11</v>
      </c>
      <c r="H37" s="83">
        <v>4.3029507534893785</v>
      </c>
      <c r="I37" s="83">
        <v>-0.48606881079842212</v>
      </c>
    </row>
    <row r="38" spans="1:9" x14ac:dyDescent="0.35">
      <c r="A38" s="20">
        <v>12</v>
      </c>
      <c r="B38" s="83">
        <v>-0.63022189569636766</v>
      </c>
      <c r="C38" s="83">
        <v>1.5465170281585641</v>
      </c>
      <c r="G38" s="20">
        <v>12</v>
      </c>
      <c r="H38" s="83">
        <v>-3.6032208500586793</v>
      </c>
      <c r="I38" s="83">
        <v>2.626602418755513</v>
      </c>
    </row>
    <row r="39" spans="1:9" x14ac:dyDescent="0.35">
      <c r="A39" s="20">
        <v>13</v>
      </c>
      <c r="B39" s="83">
        <v>1.4031486680509098</v>
      </c>
      <c r="C39" s="83">
        <v>1.5320452232167596</v>
      </c>
      <c r="G39" s="20">
        <v>13</v>
      </c>
      <c r="H39" s="83">
        <v>0.35002914043705413</v>
      </c>
      <c r="I39" s="83">
        <v>-3.4353576294808996</v>
      </c>
    </row>
    <row r="40" spans="1:9" x14ac:dyDescent="0.35">
      <c r="A40" s="20">
        <v>14</v>
      </c>
      <c r="B40" s="83">
        <v>0.93588033987061303</v>
      </c>
      <c r="C40" s="83">
        <v>0.14245184424138801</v>
      </c>
      <c r="G40" s="20">
        <v>14</v>
      </c>
      <c r="H40" s="83">
        <v>-1.1331564212881333</v>
      </c>
      <c r="I40" s="83">
        <v>-1.9225467111723451</v>
      </c>
    </row>
    <row r="41" spans="1:9" x14ac:dyDescent="0.35">
      <c r="A41" s="20">
        <v>15</v>
      </c>
      <c r="B41" s="83">
        <v>1.8536812923919417</v>
      </c>
      <c r="C41" s="83">
        <v>-2.4018081254243837</v>
      </c>
      <c r="G41" s="20">
        <v>15</v>
      </c>
      <c r="H41" s="83">
        <v>-1.591656683110513</v>
      </c>
      <c r="I41" s="83">
        <v>0.49598306160939631</v>
      </c>
    </row>
    <row r="42" spans="1:9" x14ac:dyDescent="0.35">
      <c r="A42" s="20">
        <v>16</v>
      </c>
      <c r="B42" s="83">
        <v>0.19492912917606159</v>
      </c>
      <c r="C42" s="83">
        <v>-2.3415340829977751</v>
      </c>
      <c r="G42" s="20">
        <v>16</v>
      </c>
      <c r="H42" s="83">
        <v>0.61925487689868797</v>
      </c>
      <c r="I42" s="83">
        <v>-2.4939581443525158</v>
      </c>
    </row>
    <row r="43" spans="1:9" x14ac:dyDescent="0.35">
      <c r="A43" s="20">
        <v>17</v>
      </c>
      <c r="B43" s="83">
        <v>1.6761911373990093</v>
      </c>
      <c r="C43" s="83">
        <v>-0.41146478971218792</v>
      </c>
      <c r="G43" s="20">
        <v>17</v>
      </c>
      <c r="H43" s="83">
        <v>1.7562446935751486E-2</v>
      </c>
      <c r="I43" s="83">
        <v>2.9110722986035236</v>
      </c>
    </row>
    <row r="44" spans="1:9" x14ac:dyDescent="0.35">
      <c r="A44" s="20">
        <v>18</v>
      </c>
      <c r="B44" s="83">
        <v>0.96313629242713028</v>
      </c>
      <c r="C44" s="83">
        <v>-1.5549971818961228E-2</v>
      </c>
      <c r="G44" s="20">
        <v>18</v>
      </c>
      <c r="H44" s="83">
        <v>0.58625290514207373</v>
      </c>
      <c r="I44" s="83">
        <v>3.6604502459299879</v>
      </c>
    </row>
    <row r="45" spans="1:9" x14ac:dyDescent="0.35">
      <c r="A45" s="20">
        <v>19</v>
      </c>
      <c r="B45" s="83">
        <v>7.9208418342128661E-2</v>
      </c>
      <c r="C45" s="83">
        <v>2.1460548291027033</v>
      </c>
      <c r="G45" s="20">
        <v>19</v>
      </c>
      <c r="H45" s="83">
        <v>2.5108245853333395</v>
      </c>
      <c r="I45" s="83">
        <v>1.9247006366548831</v>
      </c>
    </row>
    <row r="46" spans="1:9" x14ac:dyDescent="0.35">
      <c r="A46" s="20">
        <v>20</v>
      </c>
      <c r="B46" s="83">
        <v>3.4714399262536988</v>
      </c>
      <c r="C46" s="83">
        <v>3.1170682607480238E-2</v>
      </c>
      <c r="G46" s="20">
        <v>20</v>
      </c>
      <c r="H46" s="83">
        <v>-0.65658215835274492</v>
      </c>
      <c r="I46" s="83">
        <v>-1.445859587689617</v>
      </c>
    </row>
    <row r="47" spans="1:9" x14ac:dyDescent="0.35">
      <c r="A47" s="20">
        <v>21</v>
      </c>
      <c r="B47" s="83">
        <v>1.0786019984132507</v>
      </c>
      <c r="C47" s="83">
        <v>0.2920599295653179</v>
      </c>
      <c r="G47" s="20">
        <v>21</v>
      </c>
      <c r="H47" s="83">
        <v>3.8807728901329757</v>
      </c>
      <c r="I47" s="83">
        <v>0.32425152792086553</v>
      </c>
    </row>
    <row r="48" spans="1:9" x14ac:dyDescent="0.35">
      <c r="A48" s="20">
        <v>22</v>
      </c>
      <c r="B48" s="83">
        <v>1.2708856023067097</v>
      </c>
      <c r="C48" s="83">
        <v>-1.7661887152296978</v>
      </c>
      <c r="G48" s="20">
        <v>22</v>
      </c>
      <c r="H48" s="83">
        <v>5.6882574901940721</v>
      </c>
      <c r="I48" s="83">
        <v>-1.2151286606371299</v>
      </c>
    </row>
    <row r="49" spans="1:9" x14ac:dyDescent="0.35">
      <c r="A49" s="20">
        <v>23</v>
      </c>
      <c r="B49" s="83">
        <v>-0.42694272380888199</v>
      </c>
      <c r="C49" s="83">
        <v>-1.9073215029977502</v>
      </c>
      <c r="G49" s="20">
        <v>23</v>
      </c>
      <c r="H49" s="83">
        <v>-1.8215509634691176</v>
      </c>
      <c r="I49" s="83">
        <v>-0.69601213033227838</v>
      </c>
    </row>
    <row r="50" spans="1:9" x14ac:dyDescent="0.35">
      <c r="A50" s="20">
        <v>24</v>
      </c>
      <c r="B50" s="83">
        <v>-0.66901570244226716</v>
      </c>
      <c r="C50" s="83">
        <v>-2.9618935125921046</v>
      </c>
      <c r="G50" s="20">
        <v>24</v>
      </c>
      <c r="H50" s="83">
        <v>-1.2787400355349039</v>
      </c>
      <c r="I50" s="83">
        <v>-2.8627345786064158</v>
      </c>
    </row>
    <row r="51" spans="1:9" x14ac:dyDescent="0.35">
      <c r="A51" s="20">
        <v>25</v>
      </c>
      <c r="B51" s="83">
        <v>0.71274219312125686</v>
      </c>
      <c r="C51" s="83">
        <v>0.12366050054950639</v>
      </c>
      <c r="G51" s="20">
        <v>25</v>
      </c>
      <c r="H51" s="83">
        <v>-0.13694286203664563</v>
      </c>
      <c r="I51" s="83">
        <v>-4.3153382090360113</v>
      </c>
    </row>
    <row r="52" spans="1:9" x14ac:dyDescent="0.35">
      <c r="A52" s="20">
        <v>26</v>
      </c>
      <c r="B52" s="83">
        <v>0.86422646836341244</v>
      </c>
      <c r="C52" s="83">
        <v>-1.6687240084334927</v>
      </c>
      <c r="G52" s="20">
        <v>26</v>
      </c>
      <c r="H52" s="83">
        <v>1.9232286687115931</v>
      </c>
      <c r="I52" s="83">
        <v>-0.84421093124282609</v>
      </c>
    </row>
    <row r="53" spans="1:9" x14ac:dyDescent="0.35">
      <c r="A53" s="20">
        <v>27</v>
      </c>
      <c r="B53" s="83">
        <v>2.2413466343379604</v>
      </c>
      <c r="C53" s="83">
        <v>1.9496823101383156</v>
      </c>
      <c r="G53" s="20">
        <v>27</v>
      </c>
      <c r="H53" s="83">
        <v>4.6330496500447227</v>
      </c>
      <c r="I53" s="83">
        <v>0.14623732700629422</v>
      </c>
    </row>
    <row r="54" spans="1:9" x14ac:dyDescent="0.35">
      <c r="A54" s="20">
        <v>28</v>
      </c>
      <c r="B54" s="83">
        <v>1.3306476320756235</v>
      </c>
      <c r="C54" s="83">
        <v>1.9089165090412241</v>
      </c>
      <c r="G54" s="20">
        <v>28</v>
      </c>
      <c r="H54" s="83">
        <v>0.1061972197807719</v>
      </c>
      <c r="I54" s="83">
        <v>1.180370279674529</v>
      </c>
    </row>
    <row r="55" spans="1:9" x14ac:dyDescent="0.35">
      <c r="A55" s="20">
        <v>29</v>
      </c>
      <c r="B55" s="83">
        <v>-0.92339266319874036</v>
      </c>
      <c r="C55" s="83">
        <v>2.5529903971391166</v>
      </c>
      <c r="G55" s="20">
        <v>29</v>
      </c>
      <c r="H55" s="83">
        <v>0.55029292600882629</v>
      </c>
      <c r="I55" s="83">
        <v>-0.64310481588769708</v>
      </c>
    </row>
    <row r="56" spans="1:9" x14ac:dyDescent="0.35">
      <c r="A56" s="20">
        <v>30</v>
      </c>
      <c r="B56" s="83">
        <v>-1.4211841088763151</v>
      </c>
      <c r="C56" s="83">
        <v>-0.93486959692546612</v>
      </c>
      <c r="G56" s="20">
        <v>30</v>
      </c>
      <c r="H56" s="83">
        <v>0.17750482877810814</v>
      </c>
      <c r="I56" s="83">
        <v>-3.2839689978964115</v>
      </c>
    </row>
    <row r="57" spans="1:9" x14ac:dyDescent="0.35">
      <c r="A57" s="20">
        <v>31</v>
      </c>
      <c r="B57" s="83">
        <v>0.7796229301889559</v>
      </c>
      <c r="C57" s="83">
        <v>2.3067273220005351</v>
      </c>
      <c r="G57" s="20">
        <v>31</v>
      </c>
      <c r="H57" s="83">
        <v>-3.7911766804792846</v>
      </c>
      <c r="I57" s="83">
        <v>-2.8602998228152812</v>
      </c>
    </row>
    <row r="58" spans="1:9" x14ac:dyDescent="0.35">
      <c r="A58" s="20">
        <v>32</v>
      </c>
      <c r="B58" s="83">
        <v>2.5837027494486398</v>
      </c>
      <c r="C58" s="83">
        <v>-3.777828000156723</v>
      </c>
      <c r="G58" s="20">
        <v>32</v>
      </c>
      <c r="H58" s="83">
        <v>-1.1416474379697801</v>
      </c>
      <c r="I58" s="83">
        <v>4.0591617806589033</v>
      </c>
    </row>
    <row r="59" spans="1:9" x14ac:dyDescent="0.35">
      <c r="A59" s="20">
        <v>33</v>
      </c>
      <c r="B59" s="83">
        <v>3.6612708193653933</v>
      </c>
      <c r="C59" s="83">
        <v>1.5284434481457492</v>
      </c>
      <c r="G59" s="20">
        <v>33</v>
      </c>
      <c r="H59" s="83">
        <v>0.10743151146635022</v>
      </c>
      <c r="I59" s="83">
        <v>0.90180745246974592</v>
      </c>
    </row>
    <row r="60" spans="1:9" x14ac:dyDescent="0.35">
      <c r="A60" s="20">
        <v>34</v>
      </c>
      <c r="B60" s="83">
        <v>-1.5622478729702551</v>
      </c>
      <c r="C60" s="83">
        <v>-0.10605678956551845</v>
      </c>
      <c r="G60" s="20">
        <v>34</v>
      </c>
      <c r="H60" s="83">
        <v>0.76570012771065921</v>
      </c>
      <c r="I60" s="83">
        <v>4.1211981060980953</v>
      </c>
    </row>
    <row r="61" spans="1:9" x14ac:dyDescent="0.35">
      <c r="A61" s="20">
        <v>35</v>
      </c>
      <c r="B61" s="83">
        <v>1.8127848012944345</v>
      </c>
      <c r="C61" s="83">
        <v>1.7415720316177468</v>
      </c>
      <c r="G61" s="20">
        <v>35</v>
      </c>
      <c r="H61" s="83">
        <v>5.5295212540544432</v>
      </c>
      <c r="I61" s="83">
        <v>-4.8870923244796343</v>
      </c>
    </row>
    <row r="62" spans="1:9" x14ac:dyDescent="0.35">
      <c r="A62" s="20">
        <v>36</v>
      </c>
      <c r="B62" s="83">
        <v>-1.4974990635952328</v>
      </c>
      <c r="C62" s="83">
        <v>-2.3938087501411367</v>
      </c>
      <c r="G62" s="20">
        <v>36</v>
      </c>
      <c r="H62" s="83">
        <v>0.47427604360942166</v>
      </c>
      <c r="I62" s="83">
        <v>1.3070223046532536</v>
      </c>
    </row>
    <row r="63" spans="1:9" x14ac:dyDescent="0.35">
      <c r="A63" s="20">
        <v>37</v>
      </c>
      <c r="B63" s="83">
        <v>1.1519635285501482</v>
      </c>
      <c r="C63" s="83">
        <v>-2.6516229845358565</v>
      </c>
      <c r="G63" s="20">
        <v>37</v>
      </c>
      <c r="H63" s="83">
        <v>1.9981479299357359</v>
      </c>
      <c r="I63" s="83">
        <v>-5.0839917607359002</v>
      </c>
    </row>
    <row r="64" spans="1:9" x14ac:dyDescent="0.35">
      <c r="A64" s="20">
        <v>38</v>
      </c>
      <c r="B64" s="83">
        <v>1.4216481424550271</v>
      </c>
      <c r="C64" s="83">
        <v>1.680946426420014</v>
      </c>
      <c r="G64" s="20">
        <v>38</v>
      </c>
      <c r="H64" s="83">
        <v>3.2100333372020229E-2</v>
      </c>
      <c r="I64" s="83">
        <v>-0.68302546032278344</v>
      </c>
    </row>
    <row r="65" spans="1:9" x14ac:dyDescent="0.35">
      <c r="A65" s="20">
        <v>39</v>
      </c>
      <c r="B65" s="83">
        <v>4.9793273247040828</v>
      </c>
      <c r="C65" s="83">
        <v>-4.02323737718896</v>
      </c>
      <c r="G65" s="20">
        <v>39</v>
      </c>
      <c r="H65" s="83">
        <v>1.1999118783061022</v>
      </c>
      <c r="I65" s="83">
        <v>-2.0403558079812285</v>
      </c>
    </row>
    <row r="66" spans="1:9" x14ac:dyDescent="0.35">
      <c r="A66" s="20">
        <v>40</v>
      </c>
      <c r="B66" s="83">
        <v>2.6705544126428737</v>
      </c>
      <c r="C66" s="83">
        <v>-1.1183520294109974</v>
      </c>
      <c r="G66" s="20">
        <v>40</v>
      </c>
      <c r="H66" s="83">
        <v>2.6943166905572062</v>
      </c>
      <c r="I66" s="83">
        <v>-1.9613756922975703</v>
      </c>
    </row>
    <row r="67" spans="1:9" x14ac:dyDescent="0.35">
      <c r="A67" s="20">
        <v>41</v>
      </c>
      <c r="B67" s="83">
        <v>2.0662586464017649</v>
      </c>
      <c r="C67" s="83">
        <v>-2.9987751852451674</v>
      </c>
      <c r="G67" s="20">
        <v>41</v>
      </c>
      <c r="H67" s="83">
        <v>6.6474043152532394</v>
      </c>
      <c r="I67" s="83">
        <v>-6.4963484935107267</v>
      </c>
    </row>
    <row r="68" spans="1:9" x14ac:dyDescent="0.35">
      <c r="A68" s="20">
        <v>42</v>
      </c>
      <c r="B68" s="83">
        <v>-0.78639198143085487</v>
      </c>
      <c r="C68" s="83">
        <v>-2.735626134010317</v>
      </c>
      <c r="G68" s="20">
        <v>42</v>
      </c>
      <c r="H68" s="83">
        <v>-0.37728720003483018</v>
      </c>
      <c r="I68" s="83">
        <v>4.9253328344888798</v>
      </c>
    </row>
    <row r="69" spans="1:9" x14ac:dyDescent="0.35">
      <c r="A69" s="20">
        <v>43</v>
      </c>
      <c r="B69" s="83">
        <v>-2.0398231143209689</v>
      </c>
      <c r="C69" s="83">
        <v>-6.2677608784782084</v>
      </c>
      <c r="G69" s="20">
        <v>43</v>
      </c>
      <c r="H69" s="83">
        <v>-5.9823095486326592</v>
      </c>
      <c r="I69" s="83">
        <v>3.5252407659507012</v>
      </c>
    </row>
    <row r="70" spans="1:9" x14ac:dyDescent="0.35">
      <c r="A70" s="20">
        <v>44</v>
      </c>
      <c r="B70" s="83">
        <v>3.3800662969882302</v>
      </c>
      <c r="C70" s="83">
        <v>4.6401392591255934</v>
      </c>
      <c r="G70" s="20">
        <v>44</v>
      </c>
      <c r="H70" s="83">
        <v>-2.2595447378213787</v>
      </c>
      <c r="I70" s="83">
        <v>-5.8662699319432665</v>
      </c>
    </row>
    <row r="71" spans="1:9" x14ac:dyDescent="0.35">
      <c r="A71" s="20">
        <v>45</v>
      </c>
      <c r="B71" s="83">
        <v>0.47791570168141595</v>
      </c>
      <c r="C71" s="83">
        <v>-5.5298803594715302</v>
      </c>
      <c r="G71" s="20">
        <v>45</v>
      </c>
      <c r="H71" s="83">
        <v>4.1157542590334035</v>
      </c>
      <c r="I71" s="83">
        <v>1.3114357498016034</v>
      </c>
    </row>
    <row r="72" spans="1:9" x14ac:dyDescent="0.35">
      <c r="A72" s="20">
        <v>46</v>
      </c>
      <c r="B72" s="83">
        <v>-2.4202065990736834</v>
      </c>
      <c r="C72" s="83">
        <v>-3.3148921925447343</v>
      </c>
      <c r="G72" s="20">
        <v>46</v>
      </c>
      <c r="H72" s="83">
        <v>-3.0524100057070811</v>
      </c>
      <c r="I72" s="83">
        <v>-2.5348983131961083</v>
      </c>
    </row>
    <row r="73" spans="1:9" x14ac:dyDescent="0.35">
      <c r="A73" s="20">
        <v>47</v>
      </c>
      <c r="B73" s="83">
        <v>-4.5839527119037058</v>
      </c>
      <c r="C73" s="83">
        <v>-1.5519457614766523</v>
      </c>
      <c r="G73" s="20">
        <v>47</v>
      </c>
      <c r="H73" s="83">
        <v>-9.1160604080839107</v>
      </c>
      <c r="I73" s="83">
        <v>-0.31847460476618039</v>
      </c>
    </row>
    <row r="74" spans="1:9" x14ac:dyDescent="0.35">
      <c r="A74" s="20">
        <v>48</v>
      </c>
      <c r="B74" s="83">
        <v>-1.2097020184292853</v>
      </c>
      <c r="C74" s="83">
        <v>-0.16291036255715685</v>
      </c>
      <c r="G74" s="20">
        <v>48</v>
      </c>
      <c r="H74" s="83">
        <v>-0.21004941809946986</v>
      </c>
      <c r="I74" s="83">
        <v>-1.7607668615228382</v>
      </c>
    </row>
    <row r="75" spans="1:9" x14ac:dyDescent="0.35">
      <c r="A75" s="20">
        <v>49</v>
      </c>
      <c r="B75" s="83">
        <v>3.0029612021208374</v>
      </c>
      <c r="C75" s="83">
        <v>2.342480262334365</v>
      </c>
      <c r="G75" s="20">
        <v>49</v>
      </c>
      <c r="H75" s="83">
        <v>2.892858347303604</v>
      </c>
      <c r="I75" s="83">
        <v>7.4457061379644669</v>
      </c>
    </row>
    <row r="76" spans="1:9" x14ac:dyDescent="0.35">
      <c r="A76" s="20">
        <v>50</v>
      </c>
      <c r="B76" s="83">
        <v>-0.14717735242793706</v>
      </c>
      <c r="C76" s="83">
        <v>-0.55041243476839996</v>
      </c>
      <c r="G76" s="20">
        <v>50</v>
      </c>
      <c r="H76" s="83">
        <v>0.67756617181298517</v>
      </c>
      <c r="I76" s="83">
        <v>0.94875865914600277</v>
      </c>
    </row>
    <row r="77" spans="1:9" x14ac:dyDescent="0.35">
      <c r="A77" s="20">
        <v>51</v>
      </c>
      <c r="B77" s="83">
        <v>-3.8331603898750632</v>
      </c>
      <c r="C77" s="83">
        <v>1.5756253990421434</v>
      </c>
      <c r="G77" s="20">
        <v>51</v>
      </c>
      <c r="H77" s="83">
        <v>-3.1068651769459561</v>
      </c>
      <c r="I77" s="83">
        <v>1.2749919804512164</v>
      </c>
    </row>
    <row r="78" spans="1:9" x14ac:dyDescent="0.35">
      <c r="A78" s="20">
        <v>52</v>
      </c>
      <c r="B78" s="83">
        <v>-0.92774739406712037</v>
      </c>
      <c r="C78" s="83">
        <v>-1.0461472369027889</v>
      </c>
      <c r="G78" s="20">
        <v>52</v>
      </c>
      <c r="H78" s="83">
        <v>-0.10421169121409377</v>
      </c>
      <c r="I78" s="83">
        <v>-1.9880828389581229</v>
      </c>
    </row>
    <row r="79" spans="1:9" x14ac:dyDescent="0.35">
      <c r="A79" s="20">
        <v>53</v>
      </c>
      <c r="B79" s="83">
        <v>2.2540612343223043</v>
      </c>
      <c r="C79" s="83">
        <v>-2.6057215574839661</v>
      </c>
      <c r="G79" s="20">
        <v>53</v>
      </c>
      <c r="H79" s="83">
        <v>1.5757862212843303</v>
      </c>
      <c r="I79" s="83">
        <v>-2.3018114887622607</v>
      </c>
    </row>
    <row r="80" spans="1:9" x14ac:dyDescent="0.35">
      <c r="A80" s="20">
        <v>54</v>
      </c>
      <c r="B80" s="83">
        <v>1.3005312717335866</v>
      </c>
      <c r="C80" s="83">
        <v>-0.28511105249077717</v>
      </c>
      <c r="G80" s="20">
        <v>54</v>
      </c>
      <c r="H80" s="83">
        <v>5.8763295793908101</v>
      </c>
      <c r="I80" s="83">
        <v>-0.42801407856572915</v>
      </c>
    </row>
    <row r="81" spans="1:9" x14ac:dyDescent="0.35">
      <c r="A81" s="20">
        <v>55</v>
      </c>
      <c r="B81" s="83">
        <v>-2.6853901619348668</v>
      </c>
      <c r="C81" s="83">
        <v>5.4703786142197508</v>
      </c>
      <c r="G81" s="20">
        <v>55</v>
      </c>
      <c r="H81" s="83">
        <v>-4.8767485538484108</v>
      </c>
      <c r="I81" s="83">
        <v>-3.3793935726482305</v>
      </c>
    </row>
    <row r="82" spans="1:9" x14ac:dyDescent="0.35">
      <c r="A82" s="20">
        <v>56</v>
      </c>
      <c r="B82" s="83">
        <v>3.9800561531865886</v>
      </c>
      <c r="C82" s="83">
        <v>5.9742386307957887</v>
      </c>
      <c r="G82" s="20">
        <v>56</v>
      </c>
      <c r="H82" s="83">
        <v>1.081727214996989</v>
      </c>
      <c r="I82" s="83">
        <v>-6.0701889345574731</v>
      </c>
    </row>
    <row r="83" spans="1:9" x14ac:dyDescent="0.35">
      <c r="A83" s="20">
        <v>57</v>
      </c>
      <c r="B83" s="83">
        <v>-0.84320304943942037</v>
      </c>
      <c r="C83" s="83">
        <v>0.53188694229216116</v>
      </c>
      <c r="G83" s="20">
        <v>57</v>
      </c>
      <c r="H83" s="83">
        <v>2.4342100477274302</v>
      </c>
      <c r="I83" s="83">
        <v>-0.26764646188822638</v>
      </c>
    </row>
    <row r="84" spans="1:9" x14ac:dyDescent="0.35">
      <c r="A84" s="20">
        <v>58</v>
      </c>
      <c r="B84" s="83">
        <v>0.23742385125125279</v>
      </c>
      <c r="C84" s="83">
        <v>1.4643678959230364</v>
      </c>
      <c r="G84" s="20">
        <v>58</v>
      </c>
      <c r="H84" s="83">
        <v>2.5205916955369445</v>
      </c>
      <c r="I84" s="83">
        <v>-0.67148453944841546</v>
      </c>
    </row>
    <row r="85" spans="1:9" x14ac:dyDescent="0.35">
      <c r="A85" s="20">
        <v>59</v>
      </c>
      <c r="B85" s="83">
        <v>-0.269462986365477</v>
      </c>
      <c r="C85" s="83">
        <v>-0.54026311810121386</v>
      </c>
      <c r="G85" s="20">
        <v>59</v>
      </c>
      <c r="H85" s="83">
        <v>1.1643623951143756</v>
      </c>
      <c r="I85" s="83">
        <v>-0.73930011034314003</v>
      </c>
    </row>
    <row r="86" spans="1:9" x14ac:dyDescent="0.35">
      <c r="A86" s="20">
        <v>60</v>
      </c>
      <c r="B86" s="83">
        <v>5.2497605665233582</v>
      </c>
      <c r="C86" s="83">
        <v>-4.7106753603081604</v>
      </c>
      <c r="G86" s="20">
        <v>60</v>
      </c>
      <c r="H86" s="83">
        <v>2.1859089395329994</v>
      </c>
      <c r="I86" s="83">
        <v>-1.381871587680896</v>
      </c>
    </row>
    <row r="87" spans="1:9" x14ac:dyDescent="0.35">
      <c r="A87" s="20">
        <v>61</v>
      </c>
      <c r="B87" s="83">
        <v>-0.14417525237910206</v>
      </c>
      <c r="C87" s="83">
        <v>-8.0795349892174739E-2</v>
      </c>
      <c r="G87" s="20">
        <v>61</v>
      </c>
      <c r="H87" s="83">
        <v>0.69530202795398199</v>
      </c>
      <c r="I87" s="83">
        <v>6.4687291172395458</v>
      </c>
    </row>
    <row r="88" spans="1:9" x14ac:dyDescent="0.35">
      <c r="A88" s="20">
        <v>62</v>
      </c>
      <c r="B88" s="83">
        <v>-0.65211172313890087</v>
      </c>
      <c r="C88" s="83">
        <v>2.2376437884837341</v>
      </c>
      <c r="G88" s="20">
        <v>62</v>
      </c>
      <c r="H88" s="83">
        <v>-6.7739487691904161</v>
      </c>
      <c r="I88" s="83">
        <v>-5.561485450675165</v>
      </c>
    </row>
    <row r="89" spans="1:9" x14ac:dyDescent="0.35">
      <c r="A89" s="20">
        <v>63</v>
      </c>
      <c r="B89" s="83">
        <v>0.22146585791335149</v>
      </c>
      <c r="C89" s="83">
        <v>2.5565017346243879</v>
      </c>
      <c r="G89" s="20">
        <v>63</v>
      </c>
      <c r="H89" s="83">
        <v>2.151079645096321</v>
      </c>
      <c r="I89" s="83">
        <v>-3.2460238567115423</v>
      </c>
    </row>
    <row r="90" spans="1:9" x14ac:dyDescent="0.35">
      <c r="A90" s="20">
        <v>64</v>
      </c>
      <c r="B90" s="83">
        <v>0.29412150626258771</v>
      </c>
      <c r="C90" s="83">
        <v>2.0332153050372961</v>
      </c>
      <c r="G90" s="20">
        <v>64</v>
      </c>
      <c r="H90" s="83">
        <v>5.242288124630659</v>
      </c>
      <c r="I90" s="83">
        <v>0.21150112983988123</v>
      </c>
    </row>
    <row r="91" spans="1:9" x14ac:dyDescent="0.35">
      <c r="A91" s="20">
        <v>65</v>
      </c>
      <c r="B91" s="83">
        <v>-4.1805448667718917E-2</v>
      </c>
      <c r="C91" s="83">
        <v>1.2504229403365221</v>
      </c>
      <c r="G91" s="20">
        <v>65</v>
      </c>
      <c r="H91" s="83">
        <v>-4.5795148311499405</v>
      </c>
      <c r="I91" s="83">
        <v>-0.93072376108466859</v>
      </c>
    </row>
    <row r="92" spans="1:9" x14ac:dyDescent="0.35">
      <c r="A92" s="20">
        <v>66</v>
      </c>
      <c r="B92" s="83">
        <v>0.58956331859811895</v>
      </c>
      <c r="C92" s="83">
        <v>-3.9385554319834482</v>
      </c>
      <c r="G92" s="20">
        <v>66</v>
      </c>
      <c r="H92" s="83">
        <v>2.7185800384485166</v>
      </c>
      <c r="I92" s="83">
        <v>1.386470377731106</v>
      </c>
    </row>
    <row r="93" spans="1:9" x14ac:dyDescent="0.35">
      <c r="A93" s="20">
        <v>67</v>
      </c>
      <c r="B93" s="83">
        <v>-1.9032932238809759</v>
      </c>
      <c r="C93" s="83">
        <v>-1.0179578449078124</v>
      </c>
      <c r="G93" s="20">
        <v>67</v>
      </c>
      <c r="H93" s="83">
        <v>-8.1118587846203614</v>
      </c>
      <c r="I93" s="83">
        <v>-0.10189936654384368</v>
      </c>
    </row>
    <row r="94" spans="1:9" x14ac:dyDescent="0.35">
      <c r="A94" s="20">
        <v>68</v>
      </c>
      <c r="B94" s="83">
        <v>1.4057632669208666</v>
      </c>
      <c r="C94" s="83">
        <v>-4.1994415466460584</v>
      </c>
      <c r="G94" s="20">
        <v>68</v>
      </c>
      <c r="H94" s="83">
        <v>-0.438138514616494</v>
      </c>
      <c r="I94" s="83">
        <v>0.93357063303579113</v>
      </c>
    </row>
    <row r="95" spans="1:9" x14ac:dyDescent="0.35">
      <c r="A95" s="20">
        <v>69</v>
      </c>
      <c r="B95" s="83">
        <v>-0.90664251672529617</v>
      </c>
      <c r="C95" s="83">
        <v>1.0831011515349431</v>
      </c>
      <c r="G95" s="20">
        <v>69</v>
      </c>
      <c r="H95" s="83">
        <v>-2.7255924908938196</v>
      </c>
      <c r="I95" s="83">
        <v>0.68488818970216725</v>
      </c>
    </row>
    <row r="96" spans="1:9" x14ac:dyDescent="0.35">
      <c r="A96" s="20">
        <v>70</v>
      </c>
      <c r="B96" s="83">
        <v>0.64740999858689241</v>
      </c>
      <c r="C96" s="83">
        <v>3.7089967594251561</v>
      </c>
      <c r="G96" s="20">
        <v>70</v>
      </c>
      <c r="H96" s="83">
        <v>2.9521599725638286</v>
      </c>
      <c r="I96" s="83">
        <v>-5.6951416990223622</v>
      </c>
    </row>
    <row r="97" spans="1:9" x14ac:dyDescent="0.35">
      <c r="A97" s="20">
        <v>71</v>
      </c>
      <c r="B97" s="83">
        <v>-2.5797953928493222</v>
      </c>
      <c r="C97" s="83">
        <v>5.7367109959737226</v>
      </c>
      <c r="G97" s="20">
        <v>71</v>
      </c>
      <c r="H97" s="83">
        <v>-2.3395940807206674</v>
      </c>
      <c r="I97" s="83">
        <v>2.6216742936101447</v>
      </c>
    </row>
    <row r="98" spans="1:9" x14ac:dyDescent="0.35">
      <c r="A98" s="20">
        <v>72</v>
      </c>
      <c r="B98" s="83">
        <v>-0.64134211352061499</v>
      </c>
      <c r="C98" s="83">
        <v>2.9659025251982523</v>
      </c>
      <c r="G98" s="20">
        <v>72</v>
      </c>
      <c r="H98" s="83">
        <v>5.9054054159580573</v>
      </c>
      <c r="I98" s="83">
        <v>6.488084551213765</v>
      </c>
    </row>
    <row r="99" spans="1:9" x14ac:dyDescent="0.35">
      <c r="A99" s="20">
        <v>73</v>
      </c>
      <c r="B99" s="83">
        <v>-0.36296756691059828</v>
      </c>
      <c r="C99" s="83">
        <v>5.0779866070861406</v>
      </c>
      <c r="G99" s="20">
        <v>73</v>
      </c>
      <c r="H99" s="83">
        <v>1.9057176087233909</v>
      </c>
      <c r="I99" s="83">
        <v>-2.4762855435633671</v>
      </c>
    </row>
    <row r="100" spans="1:9" x14ac:dyDescent="0.35">
      <c r="A100" s="20">
        <v>74</v>
      </c>
      <c r="B100" s="83">
        <v>-2.2672012929086796</v>
      </c>
      <c r="C100" s="83">
        <v>3.4035691298629414</v>
      </c>
      <c r="G100" s="20">
        <v>74</v>
      </c>
      <c r="H100" s="83">
        <v>-0.52921259339399107</v>
      </c>
      <c r="I100" s="83">
        <v>1.8769410737670142</v>
      </c>
    </row>
    <row r="101" spans="1:9" x14ac:dyDescent="0.35">
      <c r="A101" s="20">
        <v>75</v>
      </c>
      <c r="B101" s="83">
        <v>0.95276054407992017</v>
      </c>
      <c r="C101" s="83">
        <v>1.4658614979188358</v>
      </c>
      <c r="G101" s="20">
        <v>75</v>
      </c>
      <c r="H101" s="83">
        <v>-1.1873017209272716</v>
      </c>
      <c r="I101" s="83">
        <v>1.7826909110397358</v>
      </c>
    </row>
    <row r="102" spans="1:9" x14ac:dyDescent="0.35">
      <c r="A102" s="20">
        <v>76</v>
      </c>
      <c r="B102" s="83">
        <v>0.66394958150533012</v>
      </c>
      <c r="C102" s="83">
        <v>-0.82348100723002515</v>
      </c>
      <c r="G102" s="20">
        <v>76</v>
      </c>
      <c r="H102" s="83">
        <v>3.076031030181662</v>
      </c>
      <c r="I102" s="83">
        <v>2.0883272619743858</v>
      </c>
    </row>
    <row r="103" spans="1:9" x14ac:dyDescent="0.35">
      <c r="A103" s="20">
        <v>77</v>
      </c>
      <c r="B103" s="83">
        <v>0.96292199235569798</v>
      </c>
      <c r="C103" s="83">
        <v>-5.551782849594733E-2</v>
      </c>
      <c r="G103" s="20">
        <v>77</v>
      </c>
      <c r="H103" s="83">
        <v>-0.42689718894680478</v>
      </c>
      <c r="I103" s="83">
        <v>0.96734076460068485</v>
      </c>
    </row>
    <row r="104" spans="1:9" x14ac:dyDescent="0.35">
      <c r="A104" s="20">
        <v>78</v>
      </c>
      <c r="B104" s="83">
        <v>1.8412042456890385</v>
      </c>
      <c r="C104" s="83">
        <v>-1.3574588544827966</v>
      </c>
      <c r="G104" s="20">
        <v>78</v>
      </c>
      <c r="H104" s="83">
        <v>-0.35377903600877825</v>
      </c>
      <c r="I104" s="83">
        <v>-2.9508394397077238</v>
      </c>
    </row>
    <row r="105" spans="1:9" x14ac:dyDescent="0.35">
      <c r="A105" s="20">
        <v>79</v>
      </c>
      <c r="B105" s="83">
        <v>0.24656110936038106</v>
      </c>
      <c r="C105" s="83">
        <v>0.51060369567462049</v>
      </c>
      <c r="G105" s="20">
        <v>79</v>
      </c>
      <c r="H105" s="83">
        <v>-0.79696243813075585</v>
      </c>
      <c r="I105" s="83">
        <v>-0.63454078542944958</v>
      </c>
    </row>
    <row r="106" spans="1:9" x14ac:dyDescent="0.35">
      <c r="A106" s="20">
        <v>80</v>
      </c>
      <c r="B106" s="83">
        <v>0.93954946096247283</v>
      </c>
      <c r="C106" s="83">
        <v>-1.2647462138942256</v>
      </c>
      <c r="G106" s="20">
        <v>80</v>
      </c>
      <c r="H106" s="83">
        <v>0.7302753862800202</v>
      </c>
      <c r="I106" s="83">
        <v>-0.24672638080486309</v>
      </c>
    </row>
    <row r="107" spans="1:9" x14ac:dyDescent="0.35">
      <c r="A107" s="20">
        <v>81</v>
      </c>
      <c r="B107" s="83">
        <v>0.65416657500381126</v>
      </c>
      <c r="C107" s="83">
        <v>-0.54705955942494189</v>
      </c>
      <c r="G107" s="20">
        <v>81</v>
      </c>
      <c r="H107" s="83">
        <v>1.3506547024324815</v>
      </c>
      <c r="I107" s="83">
        <v>0.67791885579658917</v>
      </c>
    </row>
    <row r="108" spans="1:9" x14ac:dyDescent="0.35">
      <c r="A108" s="20">
        <v>82</v>
      </c>
      <c r="B108" s="83">
        <v>0.70708808330196615</v>
      </c>
      <c r="C108" s="83">
        <v>-0.81507223684981478</v>
      </c>
      <c r="G108" s="20">
        <v>82</v>
      </c>
      <c r="H108" s="83">
        <v>0.65367146718130087</v>
      </c>
      <c r="I108" s="83">
        <v>1.7239843144565956</v>
      </c>
    </row>
    <row r="109" spans="1:9" x14ac:dyDescent="0.35">
      <c r="A109" s="20">
        <v>83</v>
      </c>
      <c r="B109" s="83">
        <v>-0.80655214650196827</v>
      </c>
      <c r="C109" s="83">
        <v>-0.64002402765109179</v>
      </c>
      <c r="G109" s="20">
        <v>83</v>
      </c>
      <c r="H109" s="83">
        <v>-3.6771169850436314</v>
      </c>
      <c r="I109" s="83">
        <v>-3.4444431350619045</v>
      </c>
    </row>
    <row r="110" spans="1:9" x14ac:dyDescent="0.35">
      <c r="A110" s="20">
        <v>84</v>
      </c>
      <c r="B110" s="83">
        <v>0.40373342997273298</v>
      </c>
      <c r="C110" s="83">
        <v>3.3897485913464274</v>
      </c>
      <c r="G110" s="20">
        <v>84</v>
      </c>
      <c r="H110" s="83">
        <v>4.5302519344938634</v>
      </c>
      <c r="I110" s="83">
        <v>-1.6747731918635544E-2</v>
      </c>
    </row>
    <row r="111" spans="1:9" x14ac:dyDescent="0.35">
      <c r="A111" s="20">
        <v>85</v>
      </c>
      <c r="B111" s="83">
        <v>0.28691745557600656</v>
      </c>
      <c r="C111" s="83">
        <v>-1.3868287237506141</v>
      </c>
      <c r="G111" s="20">
        <v>85</v>
      </c>
      <c r="H111" s="83">
        <v>-2.2047936023128152</v>
      </c>
      <c r="I111" s="83">
        <v>-0.91956168526527771</v>
      </c>
    </row>
    <row r="112" spans="1:9" x14ac:dyDescent="0.35">
      <c r="A112" s="20">
        <v>86</v>
      </c>
      <c r="B112" s="83">
        <v>-0.1026000330317095</v>
      </c>
      <c r="C112" s="83">
        <v>4.6976573237233095E-2</v>
      </c>
      <c r="G112" s="20">
        <v>86</v>
      </c>
      <c r="H112" s="83">
        <v>4.4638485091150422</v>
      </c>
      <c r="I112" s="83">
        <v>-2.0790477140974235</v>
      </c>
    </row>
    <row r="113" spans="1:9" x14ac:dyDescent="0.35">
      <c r="A113" s="20">
        <v>87</v>
      </c>
      <c r="B113" s="83">
        <v>2.044569776999098</v>
      </c>
      <c r="C113" s="83">
        <v>-0.50455117514123415</v>
      </c>
      <c r="G113" s="20">
        <v>87</v>
      </c>
      <c r="H113" s="83">
        <v>-0.67159150775377174</v>
      </c>
      <c r="I113" s="83">
        <v>-3.0810841803678555</v>
      </c>
    </row>
    <row r="114" spans="1:9" x14ac:dyDescent="0.35">
      <c r="A114" s="20">
        <v>88</v>
      </c>
      <c r="B114" s="83">
        <v>-0.36325533052043923</v>
      </c>
      <c r="C114" s="83">
        <v>3.4040384793640359</v>
      </c>
      <c r="G114" s="20">
        <v>88</v>
      </c>
      <c r="H114" s="83">
        <v>-3.2540147909944923</v>
      </c>
      <c r="I114" s="83">
        <v>-4.6957961002708437</v>
      </c>
    </row>
    <row r="115" spans="1:9" x14ac:dyDescent="0.35">
      <c r="A115" s="20">
        <v>89</v>
      </c>
      <c r="B115" s="83">
        <v>1.3500914215056026</v>
      </c>
      <c r="C115" s="83">
        <v>3.1618497456017636E-2</v>
      </c>
      <c r="G115" s="20">
        <v>89</v>
      </c>
      <c r="H115" s="83">
        <v>5.2219226257072435</v>
      </c>
      <c r="I115" s="83">
        <v>3.5315785506061861</v>
      </c>
    </row>
    <row r="116" spans="1:9" x14ac:dyDescent="0.35">
      <c r="A116" s="20">
        <v>90</v>
      </c>
      <c r="B116" s="83">
        <v>1.9170213070524684</v>
      </c>
      <c r="C116" s="83">
        <v>1.6832577189067668</v>
      </c>
      <c r="G116" s="20">
        <v>90</v>
      </c>
      <c r="H116" s="83">
        <v>-1.5911354035834675</v>
      </c>
      <c r="I116" s="83">
        <v>1.3366425639419588</v>
      </c>
    </row>
    <row r="117" spans="1:9" x14ac:dyDescent="0.35">
      <c r="A117" s="20">
        <v>91</v>
      </c>
      <c r="B117" s="83">
        <v>-0.21736998112250455</v>
      </c>
      <c r="C117" s="83">
        <v>2.7738110755376026</v>
      </c>
      <c r="G117" s="20">
        <v>91</v>
      </c>
      <c r="H117" s="83">
        <v>-1.1289699505840789</v>
      </c>
      <c r="I117" s="83">
        <v>-1.7932617179891748</v>
      </c>
    </row>
    <row r="118" spans="1:9" x14ac:dyDescent="0.35">
      <c r="A118" s="20">
        <v>92</v>
      </c>
      <c r="B118" s="83">
        <v>0.59577880983502851</v>
      </c>
      <c r="C118" s="83">
        <v>-1.7603707217708433</v>
      </c>
      <c r="G118" s="20">
        <v>92</v>
      </c>
      <c r="H118" s="83">
        <v>0.43314895441088475</v>
      </c>
      <c r="I118" s="83">
        <v>-1.98445456456583</v>
      </c>
    </row>
    <row r="119" spans="1:9" x14ac:dyDescent="0.35">
      <c r="A119" s="20">
        <v>93</v>
      </c>
      <c r="B119" s="83">
        <v>0.10988585093162695</v>
      </c>
      <c r="C119" s="83">
        <v>-1.6218532478718077</v>
      </c>
      <c r="G119" s="20">
        <v>93</v>
      </c>
      <c r="H119" s="83">
        <v>3.1728219378607823</v>
      </c>
      <c r="I119" s="83">
        <v>3.1390827364930698</v>
      </c>
    </row>
    <row r="120" spans="1:9" x14ac:dyDescent="0.35">
      <c r="A120" s="20">
        <v>94</v>
      </c>
      <c r="B120" s="83">
        <v>0.43544430900249642</v>
      </c>
      <c r="C120" s="83">
        <v>-0.67417816885329263</v>
      </c>
      <c r="G120" s="20">
        <v>94</v>
      </c>
      <c r="H120" s="83">
        <v>4.9558914427380563</v>
      </c>
      <c r="I120" s="83">
        <v>-7.4024210329832307</v>
      </c>
    </row>
    <row r="121" spans="1:9" x14ac:dyDescent="0.35">
      <c r="A121" s="20">
        <v>95</v>
      </c>
      <c r="B121" s="83">
        <v>3.654053081362191</v>
      </c>
      <c r="C121" s="83">
        <v>1.051976782005716</v>
      </c>
      <c r="G121" s="20">
        <v>95</v>
      </c>
      <c r="H121" s="83">
        <v>2.8416427816688241</v>
      </c>
      <c r="I121" s="83">
        <v>-3.1863146315330155</v>
      </c>
    </row>
    <row r="122" spans="1:9" x14ac:dyDescent="0.35">
      <c r="A122" s="20">
        <v>96</v>
      </c>
      <c r="B122" s="83">
        <v>-0.91527135151056682</v>
      </c>
      <c r="C122" s="83">
        <v>-3.2519963367123124</v>
      </c>
      <c r="G122" s="20">
        <v>96</v>
      </c>
      <c r="H122" s="83">
        <v>-2.7252799138217698</v>
      </c>
      <c r="I122" s="83">
        <v>-1.1674106504360768</v>
      </c>
    </row>
    <row r="123" spans="1:9" x14ac:dyDescent="0.35">
      <c r="A123" s="20">
        <v>97</v>
      </c>
      <c r="B123" s="83">
        <v>0.51768467739248214</v>
      </c>
      <c r="C123" s="83">
        <v>1.4829946199668065</v>
      </c>
      <c r="G123" s="20">
        <v>97</v>
      </c>
      <c r="H123" s="83">
        <v>3.1900408962058311</v>
      </c>
      <c r="I123" s="83">
        <v>-1.4968779198941495</v>
      </c>
    </row>
    <row r="124" spans="1:9" x14ac:dyDescent="0.35">
      <c r="A124" s="20">
        <v>98</v>
      </c>
      <c r="B124" s="83">
        <v>-0.18507512236993973</v>
      </c>
      <c r="C124" s="83">
        <v>-3.6003036096150316</v>
      </c>
      <c r="G124" s="20">
        <v>98</v>
      </c>
      <c r="H124" s="83">
        <v>-1.3510457091268351</v>
      </c>
      <c r="I124" s="83">
        <v>8.2673398280295434</v>
      </c>
    </row>
    <row r="125" spans="1:9" x14ac:dyDescent="0.35">
      <c r="A125" s="20">
        <v>99</v>
      </c>
      <c r="B125" s="83">
        <v>-1.9155054629023165</v>
      </c>
      <c r="C125" s="83">
        <v>0.85977714025467611</v>
      </c>
      <c r="G125" s="20">
        <v>99</v>
      </c>
      <c r="H125" s="83">
        <v>2.1932688798029369</v>
      </c>
      <c r="I125" s="83">
        <v>-2.0612199118927981</v>
      </c>
    </row>
    <row r="126" spans="1:9" x14ac:dyDescent="0.35">
      <c r="A126" s="20">
        <v>100</v>
      </c>
      <c r="B126" s="83">
        <v>5.205730164052047E-2</v>
      </c>
      <c r="C126" s="83">
        <v>-2.0734988507127712</v>
      </c>
      <c r="G126" s="20">
        <v>100</v>
      </c>
      <c r="H126" s="83">
        <v>-2.5209355911413227</v>
      </c>
      <c r="I126" s="83">
        <v>2.6708003027065081</v>
      </c>
    </row>
    <row r="127" spans="1:9" x14ac:dyDescent="0.35">
      <c r="A127" s="20">
        <v>101</v>
      </c>
      <c r="B127" s="83">
        <v>1.9960655354448993</v>
      </c>
      <c r="C127" s="83">
        <v>1.3763490850006312</v>
      </c>
      <c r="G127" s="20">
        <v>101</v>
      </c>
      <c r="H127" s="83">
        <v>0.8491500590813964</v>
      </c>
      <c r="I127" s="83">
        <v>-4.1722355398382831</v>
      </c>
    </row>
    <row r="128" spans="1:9" x14ac:dyDescent="0.35">
      <c r="A128" s="20">
        <v>102</v>
      </c>
      <c r="B128" s="83">
        <v>3.0394867241369803</v>
      </c>
      <c r="C128" s="83">
        <v>-0.34228371301477445</v>
      </c>
      <c r="G128" s="20">
        <v>102</v>
      </c>
      <c r="H128" s="83">
        <v>4.3699703527675755</v>
      </c>
      <c r="I128" s="83">
        <v>-2.047595487797941</v>
      </c>
    </row>
    <row r="129" spans="1:9" x14ac:dyDescent="0.35">
      <c r="A129" s="20">
        <v>103</v>
      </c>
      <c r="B129" s="83">
        <v>-1.4236892316413203</v>
      </c>
      <c r="C129" s="83">
        <v>-2.7993630317534826</v>
      </c>
      <c r="G129" s="20">
        <v>103</v>
      </c>
      <c r="H129" s="83">
        <v>-3.7107547808483199</v>
      </c>
      <c r="I129" s="83">
        <v>4.0256889995735641</v>
      </c>
    </row>
    <row r="130" spans="1:9" x14ac:dyDescent="0.35">
      <c r="A130" s="20">
        <v>104</v>
      </c>
      <c r="B130" s="83">
        <v>1.6563851809722661</v>
      </c>
      <c r="C130" s="83">
        <v>-0.48472756936540717</v>
      </c>
      <c r="G130" s="20">
        <v>104</v>
      </c>
      <c r="H130" s="83">
        <v>-1.2117301529397932</v>
      </c>
      <c r="I130" s="83">
        <v>1.5979961076379994</v>
      </c>
    </row>
    <row r="131" spans="1:9" x14ac:dyDescent="0.35">
      <c r="A131" s="20">
        <v>105</v>
      </c>
      <c r="B131" s="83">
        <v>-0.6255860220275633</v>
      </c>
      <c r="C131" s="83">
        <v>-1.8767169654464551</v>
      </c>
      <c r="G131" s="20">
        <v>105</v>
      </c>
      <c r="H131" s="83">
        <v>3.2103939472754557</v>
      </c>
      <c r="I131" s="83">
        <v>1.7390185574009149</v>
      </c>
    </row>
    <row r="132" spans="1:9" x14ac:dyDescent="0.35">
      <c r="A132" s="20">
        <v>106</v>
      </c>
      <c r="B132" s="83">
        <v>-0.35765152748581253</v>
      </c>
      <c r="C132" s="83">
        <v>3.9263032152971786</v>
      </c>
      <c r="G132" s="20">
        <v>106</v>
      </c>
      <c r="H132" s="83">
        <v>2.2216180740565172</v>
      </c>
      <c r="I132" s="83">
        <v>1.6893576273447857</v>
      </c>
    </row>
    <row r="133" spans="1:9" x14ac:dyDescent="0.35">
      <c r="A133" s="20">
        <v>107</v>
      </c>
      <c r="B133" s="83">
        <v>-0.15069368095112134</v>
      </c>
      <c r="C133" s="83">
        <v>-3.7016013189216661</v>
      </c>
      <c r="G133" s="20">
        <v>107</v>
      </c>
      <c r="H133" s="83">
        <v>2.6273850001389598</v>
      </c>
      <c r="I133" s="83">
        <v>-4.9077631486697264</v>
      </c>
    </row>
    <row r="134" spans="1:9" x14ac:dyDescent="0.35">
      <c r="A134" s="20">
        <v>108</v>
      </c>
      <c r="B134" s="83">
        <v>0.6145964679789323</v>
      </c>
      <c r="C134" s="83">
        <v>2.2253466108985571</v>
      </c>
      <c r="G134" s="20">
        <v>108</v>
      </c>
      <c r="H134" s="83">
        <v>0.4206750133144016</v>
      </c>
      <c r="I134" s="83">
        <v>-1.0200952036923883</v>
      </c>
    </row>
    <row r="135" spans="1:9" x14ac:dyDescent="0.35">
      <c r="A135" s="20">
        <v>109</v>
      </c>
      <c r="B135" s="83">
        <v>4.1688299128386497</v>
      </c>
      <c r="C135" s="83">
        <v>-0.39478440686762761</v>
      </c>
      <c r="G135" s="20">
        <v>109</v>
      </c>
      <c r="H135" s="83">
        <v>4.0952438323928426</v>
      </c>
      <c r="I135" s="83">
        <v>-0.4339228740982275</v>
      </c>
    </row>
    <row r="136" spans="1:9" x14ac:dyDescent="0.35">
      <c r="A136" s="20">
        <v>110</v>
      </c>
      <c r="B136" s="83">
        <v>1.777953832816785</v>
      </c>
      <c r="C136" s="83">
        <v>-4.7847949810192798</v>
      </c>
      <c r="G136" s="20">
        <v>110</v>
      </c>
      <c r="H136" s="83">
        <v>6.9693339697775087</v>
      </c>
      <c r="I136" s="83">
        <v>8.8663459801674964</v>
      </c>
    </row>
    <row r="137" spans="1:9" x14ac:dyDescent="0.35">
      <c r="A137" s="20">
        <v>111</v>
      </c>
      <c r="B137" s="83">
        <v>2.7914086293342661</v>
      </c>
      <c r="C137" s="83">
        <v>4.7105609796016399</v>
      </c>
      <c r="G137" s="20">
        <v>111</v>
      </c>
      <c r="H137" s="83">
        <v>6.6200662190987414E-2</v>
      </c>
      <c r="I137" s="83">
        <v>-3.2052430381104884</v>
      </c>
    </row>
    <row r="138" spans="1:9" x14ac:dyDescent="0.35">
      <c r="A138" s="20">
        <v>112</v>
      </c>
      <c r="B138" s="83">
        <v>-2.6363775816246453</v>
      </c>
      <c r="C138" s="83">
        <v>1.7463475301235361</v>
      </c>
      <c r="G138" s="20">
        <v>112</v>
      </c>
      <c r="H138" s="83">
        <v>-5.4712945104470441</v>
      </c>
      <c r="I138" s="83">
        <v>0.87179570477904544</v>
      </c>
    </row>
    <row r="139" spans="1:9" x14ac:dyDescent="0.35">
      <c r="A139" s="20">
        <v>113</v>
      </c>
      <c r="B139" s="83">
        <v>-0.87491593325502715</v>
      </c>
      <c r="C139" s="83">
        <v>-1.5634621027551412</v>
      </c>
      <c r="G139" s="20">
        <v>113</v>
      </c>
      <c r="H139" s="83">
        <v>5.7708224580674039E-2</v>
      </c>
      <c r="I139" s="83">
        <v>0.73314316672154412</v>
      </c>
    </row>
    <row r="140" spans="1:9" x14ac:dyDescent="0.35">
      <c r="A140" s="20">
        <v>114</v>
      </c>
      <c r="B140" s="83">
        <v>-1.8187318733846909</v>
      </c>
      <c r="C140" s="83">
        <v>-1.2228648792297951</v>
      </c>
      <c r="G140" s="20">
        <v>114</v>
      </c>
      <c r="H140" s="83">
        <v>-0.75760352108645113</v>
      </c>
      <c r="I140" s="83">
        <v>1.4054747370428213</v>
      </c>
    </row>
    <row r="141" spans="1:9" x14ac:dyDescent="0.35">
      <c r="A141" s="20">
        <v>115</v>
      </c>
      <c r="B141" s="83">
        <v>-0.8699469994028971</v>
      </c>
      <c r="C141" s="83">
        <v>1.3504197532124849</v>
      </c>
      <c r="G141" s="20">
        <v>115</v>
      </c>
      <c r="H141" s="83">
        <v>1.2954118581619893</v>
      </c>
      <c r="I141" s="83">
        <v>1.2186128288528593</v>
      </c>
    </row>
    <row r="142" spans="1:9" x14ac:dyDescent="0.35">
      <c r="A142" s="20">
        <v>116</v>
      </c>
      <c r="B142" s="83">
        <v>7.7179024436788479E-2</v>
      </c>
      <c r="C142" s="83">
        <v>-0.85678144115138888</v>
      </c>
      <c r="G142" s="20">
        <v>116</v>
      </c>
      <c r="H142" s="83">
        <v>-0.46456058712842119</v>
      </c>
      <c r="I142" s="83">
        <v>-1.9855150459913373</v>
      </c>
    </row>
    <row r="143" spans="1:9" x14ac:dyDescent="0.35">
      <c r="A143" s="20">
        <v>117</v>
      </c>
      <c r="B143" s="83">
        <v>7.797434725862383E-2</v>
      </c>
      <c r="C143" s="83">
        <v>-1.5014846568468285</v>
      </c>
      <c r="G143" s="20">
        <v>117</v>
      </c>
      <c r="H143" s="83">
        <v>0.55466754719507316</v>
      </c>
      <c r="I143" s="83">
        <v>-1.857578847546034</v>
      </c>
    </row>
    <row r="144" spans="1:9" x14ac:dyDescent="0.35">
      <c r="A144" s="20">
        <v>118</v>
      </c>
      <c r="B144" s="83">
        <v>1.0936742999350564</v>
      </c>
      <c r="C144" s="83">
        <v>-1.2113930173100194</v>
      </c>
      <c r="G144" s="20">
        <v>118</v>
      </c>
      <c r="H144" s="83">
        <v>1.4288145347795356</v>
      </c>
      <c r="I144" s="83">
        <v>2.2149597636140976</v>
      </c>
    </row>
    <row r="145" spans="1:9" x14ac:dyDescent="0.35">
      <c r="A145" s="20">
        <v>119</v>
      </c>
      <c r="B145" s="83">
        <v>1.792344570248654</v>
      </c>
      <c r="C145" s="83">
        <v>-3.3681046116597084</v>
      </c>
      <c r="G145" s="20">
        <v>119</v>
      </c>
      <c r="H145" s="83">
        <v>2.2122629064214925</v>
      </c>
      <c r="I145" s="83">
        <v>6.0060082726094421E-3</v>
      </c>
    </row>
    <row r="146" spans="1:9" x14ac:dyDescent="0.35">
      <c r="A146" s="20">
        <v>120</v>
      </c>
      <c r="B146" s="83">
        <v>0.566019678957983</v>
      </c>
      <c r="C146" s="83">
        <v>1.8915124484119046</v>
      </c>
      <c r="G146" s="20">
        <v>120</v>
      </c>
      <c r="H146" s="83">
        <v>2.6059431807493727</v>
      </c>
      <c r="I146" s="83">
        <v>0.91474629371059057</v>
      </c>
    </row>
    <row r="147" spans="1:9" x14ac:dyDescent="0.35">
      <c r="A147" s="20">
        <v>121</v>
      </c>
      <c r="B147" s="83">
        <v>1.232589725031195</v>
      </c>
      <c r="C147" s="83">
        <v>1.953729276996079</v>
      </c>
      <c r="G147" s="20">
        <v>121</v>
      </c>
      <c r="H147" s="83">
        <v>1.5375589293082887</v>
      </c>
      <c r="I147" s="83">
        <v>-1.6992591225062301</v>
      </c>
    </row>
    <row r="148" spans="1:9" x14ac:dyDescent="0.35">
      <c r="A148" s="20">
        <v>122</v>
      </c>
      <c r="B148" s="83">
        <v>-1.1167115817906779</v>
      </c>
      <c r="C148" s="83">
        <v>0.32572021018115616</v>
      </c>
      <c r="G148" s="20">
        <v>122</v>
      </c>
      <c r="H148" s="83">
        <v>-3.2272871140736989</v>
      </c>
      <c r="I148" s="83">
        <v>2.6404354414684241</v>
      </c>
    </row>
    <row r="149" spans="1:9" x14ac:dyDescent="0.35">
      <c r="A149" s="20">
        <v>123</v>
      </c>
      <c r="B149" s="83">
        <v>-0.56885243901752069</v>
      </c>
      <c r="C149" s="83">
        <v>0.20586766761752123</v>
      </c>
      <c r="G149" s="20">
        <v>123</v>
      </c>
      <c r="H149" s="83">
        <v>1.3525179728923753</v>
      </c>
      <c r="I149" s="83">
        <v>1.0863509927432964</v>
      </c>
    </row>
    <row r="150" spans="1:9" x14ac:dyDescent="0.35">
      <c r="A150" s="20">
        <v>124</v>
      </c>
      <c r="B150" s="83">
        <v>-6.7350709435877398E-2</v>
      </c>
      <c r="C150" s="83">
        <v>0.49096124769854077</v>
      </c>
      <c r="G150" s="20">
        <v>124</v>
      </c>
      <c r="H150" s="83">
        <v>-0.20494745670878189</v>
      </c>
      <c r="I150" s="83">
        <v>-4.5362607222393976</v>
      </c>
    </row>
    <row r="151" spans="1:9" x14ac:dyDescent="0.35">
      <c r="A151" s="20">
        <v>125</v>
      </c>
      <c r="B151" s="83">
        <v>-2.780191434006904</v>
      </c>
      <c r="C151" s="83">
        <v>-2.1883054752463909</v>
      </c>
      <c r="G151" s="20">
        <v>125</v>
      </c>
      <c r="H151" s="83">
        <v>-2.0173669259065434</v>
      </c>
      <c r="I151" s="83">
        <v>0.90240390081957744</v>
      </c>
    </row>
    <row r="152" spans="1:9" x14ac:dyDescent="0.35">
      <c r="A152" s="20">
        <v>126</v>
      </c>
      <c r="B152" s="83">
        <v>1.5396088834287145</v>
      </c>
      <c r="C152" s="83">
        <v>-0.26201495313689782</v>
      </c>
      <c r="G152" s="20">
        <v>126</v>
      </c>
      <c r="H152" s="83">
        <v>2.4746503648597757</v>
      </c>
      <c r="I152" s="83">
        <v>1.3565418475910347</v>
      </c>
    </row>
    <row r="153" spans="1:9" x14ac:dyDescent="0.35">
      <c r="A153" s="20">
        <v>127</v>
      </c>
      <c r="B153" s="83">
        <v>0.3876560973547637</v>
      </c>
      <c r="C153" s="83">
        <v>-4.286000619349406</v>
      </c>
      <c r="G153" s="20">
        <v>127</v>
      </c>
      <c r="H153" s="83">
        <v>0.4134282854786599</v>
      </c>
      <c r="I153" s="83">
        <v>0.82595156894809696</v>
      </c>
    </row>
    <row r="154" spans="1:9" x14ac:dyDescent="0.35">
      <c r="A154" s="20">
        <v>128</v>
      </c>
      <c r="B154" s="83">
        <v>1.8320650070205358</v>
      </c>
      <c r="C154" s="83">
        <v>-0.18950179322688476</v>
      </c>
      <c r="G154" s="20">
        <v>128</v>
      </c>
      <c r="H154" s="83">
        <v>2.5990764634167336</v>
      </c>
      <c r="I154" s="83">
        <v>4.3237922827062807</v>
      </c>
    </row>
    <row r="155" spans="1:9" x14ac:dyDescent="0.35">
      <c r="A155" s="20">
        <v>129</v>
      </c>
      <c r="B155" s="83">
        <v>0.36039677824295768</v>
      </c>
      <c r="C155" s="83">
        <v>-3.0673016622338376</v>
      </c>
      <c r="G155" s="20">
        <v>129</v>
      </c>
      <c r="H155" s="83">
        <v>0.11458517427636461</v>
      </c>
      <c r="I155" s="83">
        <v>-0.93724680510089797</v>
      </c>
    </row>
    <row r="156" spans="1:9" x14ac:dyDescent="0.35">
      <c r="A156" s="20">
        <v>130</v>
      </c>
      <c r="B156" s="83">
        <v>2.5622245043919589</v>
      </c>
      <c r="C156" s="83">
        <v>3.2770147452060483</v>
      </c>
      <c r="G156" s="20">
        <v>130</v>
      </c>
      <c r="H156" s="83">
        <v>1.9000195152971666</v>
      </c>
      <c r="I156" s="83">
        <v>3.368380440462539</v>
      </c>
    </row>
    <row r="157" spans="1:9" x14ac:dyDescent="0.35">
      <c r="A157" s="20">
        <v>131</v>
      </c>
      <c r="B157" s="83">
        <v>0.84411166065676335</v>
      </c>
      <c r="C157" s="83">
        <v>2.2699071789476597</v>
      </c>
      <c r="G157" s="20">
        <v>131</v>
      </c>
      <c r="H157" s="83">
        <v>1.6481745710265243</v>
      </c>
      <c r="I157" s="83">
        <v>0.26506097555578068</v>
      </c>
    </row>
    <row r="158" spans="1:9" x14ac:dyDescent="0.35">
      <c r="A158" s="20">
        <v>132</v>
      </c>
      <c r="B158" s="83">
        <v>1.8693834132633109</v>
      </c>
      <c r="C158" s="83">
        <v>-3.0184741907728081</v>
      </c>
      <c r="G158" s="20">
        <v>132</v>
      </c>
      <c r="H158" s="83">
        <v>2.3251635158476072</v>
      </c>
      <c r="I158" s="83">
        <v>-0.43571689711070882</v>
      </c>
    </row>
    <row r="159" spans="1:9" x14ac:dyDescent="0.35">
      <c r="A159" s="20">
        <v>133</v>
      </c>
      <c r="B159" s="83">
        <v>-0.56410358616084555</v>
      </c>
      <c r="C159" s="83">
        <v>0.86324662651160067</v>
      </c>
      <c r="G159" s="20">
        <v>133</v>
      </c>
      <c r="H159" s="83">
        <v>1.8135483209165073</v>
      </c>
      <c r="I159" s="83">
        <v>-1.3713488951355088</v>
      </c>
    </row>
    <row r="160" spans="1:9" x14ac:dyDescent="0.35">
      <c r="A160" s="20">
        <v>134</v>
      </c>
      <c r="B160" s="83">
        <v>-1.1803845685598384</v>
      </c>
      <c r="C160" s="83">
        <v>4.3571860670032176</v>
      </c>
      <c r="G160" s="20">
        <v>134</v>
      </c>
      <c r="H160" s="83">
        <v>-1.0798155605707893</v>
      </c>
      <c r="I160" s="83">
        <v>0.58333681786456459</v>
      </c>
    </row>
    <row r="161" spans="1:9" x14ac:dyDescent="0.35">
      <c r="A161" s="20">
        <v>135</v>
      </c>
      <c r="B161" s="83">
        <v>9.3620962646723871E-2</v>
      </c>
      <c r="C161" s="83">
        <v>-2.3036427971856086</v>
      </c>
      <c r="G161" s="20">
        <v>135</v>
      </c>
      <c r="H161" s="83">
        <v>2.5360833431924474</v>
      </c>
      <c r="I161" s="83">
        <v>1.153961612664224</v>
      </c>
    </row>
    <row r="162" spans="1:9" x14ac:dyDescent="0.35">
      <c r="A162" s="20">
        <v>136</v>
      </c>
      <c r="B162" s="83">
        <v>-0.39219176349279439</v>
      </c>
      <c r="C162" s="83">
        <v>-1.7700667527085874</v>
      </c>
      <c r="G162" s="20">
        <v>136</v>
      </c>
      <c r="H162" s="83">
        <v>-0.83455832633740989</v>
      </c>
      <c r="I162" s="83">
        <v>1.2224729190030823</v>
      </c>
    </row>
    <row r="163" spans="1:9" x14ac:dyDescent="0.35">
      <c r="A163" s="20">
        <v>137</v>
      </c>
      <c r="B163" s="83">
        <v>1.7076970972701584</v>
      </c>
      <c r="C163" s="83">
        <v>0.211981063083865</v>
      </c>
      <c r="G163" s="20">
        <v>137</v>
      </c>
      <c r="H163" s="83">
        <v>3.8620725905708433</v>
      </c>
      <c r="I163" s="83">
        <v>-0.55010708080505877</v>
      </c>
    </row>
    <row r="164" spans="1:9" x14ac:dyDescent="0.35">
      <c r="A164" s="20">
        <v>138</v>
      </c>
      <c r="B164" s="83">
        <v>-2.0348338357782905</v>
      </c>
      <c r="C164" s="83">
        <v>-0.47726672991969421</v>
      </c>
      <c r="G164" s="20">
        <v>138</v>
      </c>
      <c r="H164" s="83">
        <v>-3.7510211224565646</v>
      </c>
      <c r="I164" s="83">
        <v>3.4010061789301482</v>
      </c>
    </row>
    <row r="165" spans="1:9" x14ac:dyDescent="0.35">
      <c r="A165" s="20">
        <v>139</v>
      </c>
      <c r="B165" s="83">
        <v>1.0915000841514753</v>
      </c>
      <c r="C165" s="83">
        <v>-2.4408854423537543</v>
      </c>
      <c r="G165" s="20">
        <v>139</v>
      </c>
      <c r="H165" s="83">
        <v>-0.7286993752868508</v>
      </c>
      <c r="I165" s="83">
        <v>-0.65202159694180784</v>
      </c>
    </row>
    <row r="166" spans="1:9" x14ac:dyDescent="0.35">
      <c r="A166" s="20">
        <v>140</v>
      </c>
      <c r="B166" s="83">
        <v>-1.7656408520425777</v>
      </c>
      <c r="C166" s="83">
        <v>-3.2918182231833897</v>
      </c>
      <c r="G166" s="20">
        <v>140</v>
      </c>
      <c r="H166" s="83">
        <v>-2.9024125465205728</v>
      </c>
      <c r="I166" s="83">
        <v>-0.70150118179312093</v>
      </c>
    </row>
    <row r="167" spans="1:9" x14ac:dyDescent="0.35">
      <c r="A167" s="20">
        <v>141</v>
      </c>
      <c r="B167" s="83">
        <v>2.0802001659449605</v>
      </c>
      <c r="C167" s="83">
        <v>0.78497159477559819</v>
      </c>
      <c r="G167" s="20">
        <v>141</v>
      </c>
      <c r="H167" s="83">
        <v>-0.61836979007108273</v>
      </c>
      <c r="I167" s="83">
        <v>-2.7933348826773554</v>
      </c>
    </row>
    <row r="168" spans="1:9" x14ac:dyDescent="0.35">
      <c r="A168" s="20">
        <v>142</v>
      </c>
      <c r="B168" s="83">
        <v>-0.62467970057723143</v>
      </c>
      <c r="C168" s="83">
        <v>-6.0472997502337398</v>
      </c>
      <c r="G168" s="20">
        <v>142</v>
      </c>
      <c r="H168" s="83">
        <v>-2.4876610019532417</v>
      </c>
      <c r="I168" s="83">
        <v>-2.1878468658670553</v>
      </c>
    </row>
    <row r="169" spans="1:9" x14ac:dyDescent="0.35">
      <c r="A169" s="20">
        <v>143</v>
      </c>
      <c r="B169" s="83">
        <v>2.6519492986133506</v>
      </c>
      <c r="C169" s="83">
        <v>4.6471426412449137</v>
      </c>
      <c r="G169" s="20">
        <v>143</v>
      </c>
      <c r="H169" s="83">
        <v>-0.3282672086246019</v>
      </c>
      <c r="I169" s="83">
        <v>-2.3138380718317055</v>
      </c>
    </row>
    <row r="170" spans="1:9" x14ac:dyDescent="0.35">
      <c r="A170" s="20">
        <v>144</v>
      </c>
      <c r="B170" s="83">
        <v>1.9368175491697666</v>
      </c>
      <c r="C170" s="83">
        <v>-0.37664272371167362</v>
      </c>
      <c r="G170" s="20">
        <v>144</v>
      </c>
      <c r="H170" s="83">
        <v>1.5469192531090912</v>
      </c>
      <c r="I170" s="83">
        <v>-1.6846854056175544</v>
      </c>
    </row>
    <row r="171" spans="1:9" x14ac:dyDescent="0.35">
      <c r="A171" s="20">
        <v>145</v>
      </c>
      <c r="B171" s="83">
        <v>1.3971087645568543</v>
      </c>
      <c r="C171" s="83">
        <v>0.60313656159377138</v>
      </c>
      <c r="G171" s="20">
        <v>145</v>
      </c>
      <c r="H171" s="83">
        <v>1.210620531506875</v>
      </c>
      <c r="I171" s="83">
        <v>-3.0337639309301467</v>
      </c>
    </row>
    <row r="172" spans="1:9" x14ac:dyDescent="0.35">
      <c r="A172" s="20">
        <v>146</v>
      </c>
      <c r="B172" s="83">
        <v>2.4691559881913689</v>
      </c>
      <c r="C172" s="83">
        <v>-2.0497011340523539</v>
      </c>
      <c r="G172" s="20">
        <v>146</v>
      </c>
      <c r="H172" s="83">
        <v>3.720915000938287</v>
      </c>
      <c r="I172" s="83">
        <v>0.67391012423772034</v>
      </c>
    </row>
    <row r="173" spans="1:9" x14ac:dyDescent="0.35">
      <c r="A173" s="20">
        <v>147</v>
      </c>
      <c r="B173" s="83">
        <v>-1.2030223324474298</v>
      </c>
      <c r="C173" s="83">
        <v>0.19520323680355367</v>
      </c>
      <c r="G173" s="20">
        <v>147</v>
      </c>
      <c r="H173" s="83">
        <v>1.2920300688606512</v>
      </c>
      <c r="I173" s="83">
        <v>1.9131070896833988</v>
      </c>
    </row>
    <row r="174" spans="1:9" x14ac:dyDescent="0.35">
      <c r="A174" s="20">
        <v>148</v>
      </c>
      <c r="B174" s="83">
        <v>-0.69268354621483574</v>
      </c>
      <c r="C174" s="83">
        <v>1.6985026418587066</v>
      </c>
      <c r="G174" s="20">
        <v>148</v>
      </c>
      <c r="H174" s="83">
        <v>-9.1102777048125388E-2</v>
      </c>
      <c r="I174" s="83">
        <v>-5.8449040690536878</v>
      </c>
    </row>
    <row r="175" spans="1:9" x14ac:dyDescent="0.35">
      <c r="A175" s="20">
        <v>149</v>
      </c>
      <c r="B175" s="83">
        <v>-0.77837428035577494</v>
      </c>
      <c r="C175" s="83">
        <v>-1.226222008171463</v>
      </c>
      <c r="G175" s="20">
        <v>149</v>
      </c>
      <c r="H175" s="83">
        <v>-3.4563467505493306</v>
      </c>
      <c r="I175" s="83">
        <v>-9.0989700837630139E-2</v>
      </c>
    </row>
    <row r="176" spans="1:9" x14ac:dyDescent="0.35">
      <c r="A176" s="20">
        <v>150</v>
      </c>
      <c r="B176" s="83">
        <v>0.46918814536188563</v>
      </c>
      <c r="C176" s="83">
        <v>-0.11952245437429038</v>
      </c>
      <c r="G176" s="20">
        <v>150</v>
      </c>
      <c r="H176" s="83">
        <v>0.85115809132142217</v>
      </c>
      <c r="I176" s="83">
        <v>-2.4968465318821504</v>
      </c>
    </row>
    <row r="177" spans="1:9" x14ac:dyDescent="0.35">
      <c r="A177" s="20">
        <v>151</v>
      </c>
      <c r="B177" s="83">
        <v>0.34474063352598094</v>
      </c>
      <c r="C177" s="83">
        <v>0.1825834616944475</v>
      </c>
      <c r="G177" s="20">
        <v>151</v>
      </c>
      <c r="H177" s="83">
        <v>2.9586678270146392</v>
      </c>
      <c r="I177" s="83">
        <v>-2.959667827014639</v>
      </c>
    </row>
    <row r="178" spans="1:9" x14ac:dyDescent="0.35">
      <c r="A178" s="20">
        <v>152</v>
      </c>
      <c r="B178" s="83">
        <v>6.3808825222978843E-2</v>
      </c>
      <c r="C178" s="83">
        <v>-0.41732879989100491</v>
      </c>
      <c r="G178" s="20">
        <v>152</v>
      </c>
      <c r="H178" s="83">
        <v>-0.28587459356578021</v>
      </c>
      <c r="I178" s="83">
        <v>0.80445185382558559</v>
      </c>
    </row>
    <row r="179" spans="1:9" x14ac:dyDescent="0.35">
      <c r="A179" s="20">
        <v>153</v>
      </c>
      <c r="B179" s="83">
        <v>1.4420520755409632</v>
      </c>
      <c r="C179" s="83">
        <v>5.2260855828400476</v>
      </c>
      <c r="G179" s="20">
        <v>153</v>
      </c>
      <c r="H179" s="83">
        <v>2.0954583006444967</v>
      </c>
      <c r="I179" s="83">
        <v>-1.2344119696196185</v>
      </c>
    </row>
    <row r="180" spans="1:9" x14ac:dyDescent="0.35">
      <c r="A180" s="20">
        <v>154</v>
      </c>
      <c r="B180" s="83">
        <v>2.692759145344596</v>
      </c>
      <c r="C180" s="83">
        <v>-4.8643908105066638</v>
      </c>
      <c r="G180" s="20">
        <v>154</v>
      </c>
      <c r="H180" s="83">
        <v>4.1631473601625402</v>
      </c>
      <c r="I180" s="83">
        <v>-2.6116749513996185</v>
      </c>
    </row>
    <row r="181" spans="1:9" x14ac:dyDescent="0.35">
      <c r="A181" s="20">
        <v>155</v>
      </c>
      <c r="B181" s="83">
        <v>-0.79489972981019086</v>
      </c>
      <c r="C181" s="83">
        <v>13.11816936947784</v>
      </c>
      <c r="G181" s="20">
        <v>155</v>
      </c>
      <c r="H181" s="83">
        <v>-2.3540281433853982</v>
      </c>
      <c r="I181" s="83">
        <v>1.4294722083341167</v>
      </c>
    </row>
    <row r="182" spans="1:9" x14ac:dyDescent="0.35">
      <c r="A182" s="20">
        <v>156</v>
      </c>
      <c r="B182" s="83">
        <v>-0.45905206779525337</v>
      </c>
      <c r="C182" s="83">
        <v>-5.0764230909188361</v>
      </c>
      <c r="G182" s="20">
        <v>156</v>
      </c>
      <c r="H182" s="83">
        <v>0.38534195397714288</v>
      </c>
      <c r="I182" s="83">
        <v>2.4535734922539616</v>
      </c>
    </row>
    <row r="183" spans="1:9" x14ac:dyDescent="0.35">
      <c r="A183" s="20">
        <v>157</v>
      </c>
      <c r="B183" s="83">
        <v>1.764381546777557</v>
      </c>
      <c r="C183" s="83">
        <v>7.3724573835394569</v>
      </c>
      <c r="G183" s="20">
        <v>157</v>
      </c>
      <c r="H183" s="83">
        <v>1.1667600522982893</v>
      </c>
      <c r="I183" s="83">
        <v>-2.1274708765112749</v>
      </c>
    </row>
    <row r="184" spans="1:9" x14ac:dyDescent="0.35">
      <c r="A184" s="20">
        <v>158</v>
      </c>
      <c r="B184" s="83">
        <v>1.3569545170550747</v>
      </c>
      <c r="C184" s="83">
        <v>4.1887493474617816</v>
      </c>
      <c r="G184" s="20">
        <v>158</v>
      </c>
      <c r="H184" s="83">
        <v>-0.40221660208251508</v>
      </c>
      <c r="I184" s="83">
        <v>8.1776823905351961</v>
      </c>
    </row>
    <row r="185" spans="1:9" x14ac:dyDescent="0.35">
      <c r="A185" s="20">
        <v>159</v>
      </c>
      <c r="B185" s="83">
        <v>0.82254687119694025</v>
      </c>
      <c r="C185" s="83">
        <v>-3.9520189402391472</v>
      </c>
      <c r="G185" s="20">
        <v>159</v>
      </c>
      <c r="H185" s="83">
        <v>3.872587490709392</v>
      </c>
      <c r="I185" s="83">
        <v>-2.4137062055911382</v>
      </c>
    </row>
    <row r="186" spans="1:9" x14ac:dyDescent="0.35">
      <c r="A186" s="20">
        <v>160</v>
      </c>
      <c r="B186" s="83">
        <v>1.2686863496227432</v>
      </c>
      <c r="C186" s="83">
        <v>3.158806766592603</v>
      </c>
      <c r="G186" s="20">
        <v>160</v>
      </c>
      <c r="H186" s="83">
        <v>-8.6610995261641732E-2</v>
      </c>
      <c r="I186" s="83">
        <v>-1.5065353718479471</v>
      </c>
    </row>
    <row r="187" spans="1:9" x14ac:dyDescent="0.35">
      <c r="A187" s="20">
        <v>161</v>
      </c>
      <c r="B187" s="83">
        <v>-1.1051806818073389</v>
      </c>
      <c r="C187" s="83">
        <v>1.0274661252578732</v>
      </c>
      <c r="G187" s="20">
        <v>161</v>
      </c>
      <c r="H187" s="83">
        <v>6.8983311662442648E-2</v>
      </c>
      <c r="I187" s="83">
        <v>-2.9557122545629424</v>
      </c>
    </row>
    <row r="188" spans="1:9" x14ac:dyDescent="0.35">
      <c r="A188" s="20">
        <v>162</v>
      </c>
      <c r="B188" s="83">
        <v>0.4706798206425053</v>
      </c>
      <c r="C188" s="83">
        <v>-1.6912072262276867</v>
      </c>
      <c r="G188" s="20">
        <v>162</v>
      </c>
      <c r="H188" s="83">
        <v>1.7220512346489856</v>
      </c>
      <c r="I188" s="83">
        <v>-4.7647969121782126</v>
      </c>
    </row>
    <row r="189" spans="1:9" x14ac:dyDescent="0.35">
      <c r="A189" s="20">
        <v>163</v>
      </c>
      <c r="B189" s="83">
        <v>2.1230197410222926</v>
      </c>
      <c r="C189" s="83">
        <v>-2.0482354103972344</v>
      </c>
      <c r="G189" s="20">
        <v>163</v>
      </c>
      <c r="H189" s="83">
        <v>3.7613714754631418</v>
      </c>
      <c r="I189" s="83">
        <v>0.94333280761728178</v>
      </c>
    </row>
    <row r="190" spans="1:9" x14ac:dyDescent="0.35">
      <c r="A190" s="20">
        <v>164</v>
      </c>
      <c r="B190" s="83">
        <v>1.4303195987278299</v>
      </c>
      <c r="C190" s="83">
        <v>1.1024033322923561</v>
      </c>
      <c r="G190" s="20">
        <v>164</v>
      </c>
      <c r="H190" s="83">
        <v>-0.7886713855890326</v>
      </c>
      <c r="I190" s="83">
        <v>-1.8538982461635238</v>
      </c>
    </row>
    <row r="191" spans="1:9" x14ac:dyDescent="0.35">
      <c r="A191" s="20">
        <v>165</v>
      </c>
      <c r="B191" s="83">
        <v>0.96899113919082147</v>
      </c>
      <c r="C191" s="83">
        <v>-3.1239285260104714</v>
      </c>
      <c r="G191" s="20">
        <v>165</v>
      </c>
      <c r="H191" s="83">
        <v>0.14639880828315299</v>
      </c>
      <c r="I191" s="83">
        <v>1.5584293739265989</v>
      </c>
    </row>
    <row r="192" spans="1:9" x14ac:dyDescent="0.35">
      <c r="A192" s="20">
        <v>166</v>
      </c>
      <c r="B192" s="83">
        <v>0.6695289783179279</v>
      </c>
      <c r="C192" s="83">
        <v>-4.2573500072242343</v>
      </c>
      <c r="G192" s="20">
        <v>166</v>
      </c>
      <c r="H192" s="83">
        <v>-0.33149172459730436</v>
      </c>
      <c r="I192" s="83">
        <v>3.4519209424311619</v>
      </c>
    </row>
    <row r="193" spans="1:9" x14ac:dyDescent="0.35">
      <c r="A193" s="20">
        <v>167</v>
      </c>
      <c r="B193" s="83">
        <v>1.3661121960410152</v>
      </c>
      <c r="C193" s="83">
        <v>5.1562862850345788</v>
      </c>
      <c r="G193" s="20">
        <v>167</v>
      </c>
      <c r="H193" s="83">
        <v>2.847823934935009</v>
      </c>
      <c r="I193" s="83">
        <v>-2.5939292271035335</v>
      </c>
    </row>
    <row r="194" spans="1:9" x14ac:dyDescent="0.35">
      <c r="A194" s="20">
        <v>168</v>
      </c>
      <c r="B194" s="83">
        <v>1.7602417105440689</v>
      </c>
      <c r="C194" s="83">
        <v>-1.9168547646963068</v>
      </c>
      <c r="G194" s="20">
        <v>168</v>
      </c>
      <c r="H194" s="83">
        <v>3.6753690128765353</v>
      </c>
      <c r="I194" s="83">
        <v>-1.9819610197727677</v>
      </c>
    </row>
    <row r="195" spans="1:9" x14ac:dyDescent="0.35">
      <c r="A195" s="20">
        <v>169</v>
      </c>
      <c r="B195" s="83">
        <v>1.783729844700936</v>
      </c>
      <c r="C195" s="83">
        <v>-3.6442566514105161</v>
      </c>
      <c r="G195" s="20">
        <v>169</v>
      </c>
      <c r="H195" s="83">
        <v>1.8526014676149325</v>
      </c>
      <c r="I195" s="83">
        <v>3.0202956564780532</v>
      </c>
    </row>
    <row r="196" spans="1:9" x14ac:dyDescent="0.35">
      <c r="A196" s="20">
        <v>170</v>
      </c>
      <c r="B196" s="83">
        <v>-2.0662417290200059</v>
      </c>
      <c r="C196" s="83">
        <v>-1.0341858922458274</v>
      </c>
      <c r="G196" s="20">
        <v>170</v>
      </c>
      <c r="H196" s="83">
        <v>-0.65098515752735286</v>
      </c>
      <c r="I196" s="83">
        <v>1.8801053931722491</v>
      </c>
    </row>
    <row r="197" spans="1:9" x14ac:dyDescent="0.35">
      <c r="A197" s="20">
        <v>171</v>
      </c>
      <c r="B197" s="83">
        <v>0.82289552351961004</v>
      </c>
      <c r="C197" s="83">
        <v>-2.9592624795014899</v>
      </c>
      <c r="G197" s="20">
        <v>171</v>
      </c>
      <c r="H197" s="83">
        <v>2.4960921842493624</v>
      </c>
      <c r="I197" s="83">
        <v>1.774018632047234</v>
      </c>
    </row>
    <row r="198" spans="1:9" x14ac:dyDescent="0.35">
      <c r="A198" s="20">
        <v>172</v>
      </c>
      <c r="B198" s="83">
        <v>-0.45625851462715372</v>
      </c>
      <c r="C198" s="83">
        <v>-0.5589748981684145</v>
      </c>
      <c r="G198" s="20">
        <v>172</v>
      </c>
      <c r="H198" s="83">
        <v>-3.2482316092721293</v>
      </c>
      <c r="I198" s="83">
        <v>-3.7330417935065023</v>
      </c>
    </row>
    <row r="199" spans="1:9" x14ac:dyDescent="0.35">
      <c r="A199" s="20">
        <v>173</v>
      </c>
      <c r="B199" s="83">
        <v>-0.52799003188697657</v>
      </c>
      <c r="C199" s="83">
        <v>-0.97704639303740848</v>
      </c>
      <c r="G199" s="20">
        <v>173</v>
      </c>
      <c r="H199" s="83">
        <v>-0.56879795715148163</v>
      </c>
      <c r="I199" s="83">
        <v>-3.0802820137309994</v>
      </c>
    </row>
    <row r="200" spans="1:9" x14ac:dyDescent="0.35">
      <c r="A200" s="20">
        <v>174</v>
      </c>
      <c r="B200" s="83">
        <v>0.54308432484994418</v>
      </c>
      <c r="C200" s="83">
        <v>3.8731124522165286</v>
      </c>
      <c r="G200" s="20">
        <v>174</v>
      </c>
      <c r="H200" s="83">
        <v>3.5685731173424342</v>
      </c>
      <c r="I200" s="83">
        <v>-1.2271541244682096</v>
      </c>
    </row>
    <row r="201" spans="1:9" x14ac:dyDescent="0.35">
      <c r="A201" s="20">
        <v>175</v>
      </c>
      <c r="B201" s="83">
        <v>0.21474876103099738</v>
      </c>
      <c r="C201" s="83">
        <v>-4.7017555621080129</v>
      </c>
      <c r="G201" s="20">
        <v>175</v>
      </c>
      <c r="H201" s="83">
        <v>0.6691826884415949</v>
      </c>
      <c r="I201" s="83">
        <v>5.0858998157514383</v>
      </c>
    </row>
    <row r="202" spans="1:9" x14ac:dyDescent="0.35">
      <c r="A202" s="20">
        <v>176</v>
      </c>
      <c r="B202" s="83">
        <v>2.4697479504930326</v>
      </c>
      <c r="C202" s="83">
        <v>1.0596090373477183</v>
      </c>
      <c r="G202" s="20">
        <v>176</v>
      </c>
      <c r="H202" s="83">
        <v>-1.2976065763724705</v>
      </c>
      <c r="I202" s="83">
        <v>2.2811619334750737</v>
      </c>
    </row>
    <row r="203" spans="1:9" x14ac:dyDescent="0.35">
      <c r="A203" s="20">
        <v>177</v>
      </c>
      <c r="B203" s="83">
        <v>1.9840439213640515</v>
      </c>
      <c r="C203" s="83">
        <v>8.1942287729957322</v>
      </c>
      <c r="G203" s="20">
        <v>177</v>
      </c>
      <c r="H203" s="83">
        <v>5.17864471207377</v>
      </c>
      <c r="I203" s="83">
        <v>4.2275950232821211</v>
      </c>
    </row>
    <row r="204" spans="1:9" x14ac:dyDescent="0.35">
      <c r="A204" s="20">
        <v>178</v>
      </c>
      <c r="B204" s="83">
        <v>2.951257626656322</v>
      </c>
      <c r="C204" s="83">
        <v>4.6345175248673556</v>
      </c>
      <c r="G204" s="20">
        <v>178</v>
      </c>
      <c r="H204" s="83">
        <v>2.3689466410087219</v>
      </c>
      <c r="I204" s="83">
        <v>2.2255303388975243</v>
      </c>
    </row>
    <row r="205" spans="1:9" x14ac:dyDescent="0.35">
      <c r="A205" s="20">
        <v>179</v>
      </c>
      <c r="B205" s="83">
        <v>1.7440281816431185</v>
      </c>
      <c r="C205" s="83">
        <v>4.3950872114660147</v>
      </c>
      <c r="G205" s="20">
        <v>179</v>
      </c>
      <c r="H205" s="83">
        <v>1.3279011607659363</v>
      </c>
      <c r="I205" s="83">
        <v>1.3490932314839226</v>
      </c>
    </row>
    <row r="206" spans="1:9" x14ac:dyDescent="0.35">
      <c r="A206" s="20">
        <v>180</v>
      </c>
      <c r="B206" s="83">
        <v>-5.5121849902373454E-2</v>
      </c>
      <c r="C206" s="83">
        <v>-0.59454116523145595</v>
      </c>
      <c r="G206" s="20">
        <v>180</v>
      </c>
      <c r="H206" s="83">
        <v>-3.3413050076729722</v>
      </c>
      <c r="I206" s="83">
        <v>-1.3498016092461262</v>
      </c>
    </row>
    <row r="207" spans="1:9" x14ac:dyDescent="0.35">
      <c r="A207" s="20">
        <v>181</v>
      </c>
      <c r="B207" s="83">
        <v>-4.60522620695899E-2</v>
      </c>
      <c r="C207" s="83">
        <v>0.23124411622355104</v>
      </c>
      <c r="G207" s="20">
        <v>181</v>
      </c>
      <c r="H207" s="83">
        <v>-0.45382636602768645</v>
      </c>
      <c r="I207" s="83">
        <v>-0.42202190082317448</v>
      </c>
    </row>
    <row r="208" spans="1:9" x14ac:dyDescent="0.35">
      <c r="A208" s="20">
        <v>182</v>
      </c>
      <c r="B208" s="83">
        <v>0.33377059658306546</v>
      </c>
      <c r="C208" s="83">
        <v>-0.51896245073703406</v>
      </c>
      <c r="G208" s="20">
        <v>182</v>
      </c>
      <c r="H208" s="83">
        <v>1.5916270408369686</v>
      </c>
      <c r="I208" s="83">
        <v>-4.2468661426521983</v>
      </c>
    </row>
    <row r="209" spans="1:9" x14ac:dyDescent="0.35">
      <c r="A209" s="20">
        <v>183</v>
      </c>
      <c r="B209" s="83">
        <v>1.6495553017710383</v>
      </c>
      <c r="C209" s="83">
        <v>-1.0929573336188168</v>
      </c>
      <c r="G209" s="20">
        <v>183</v>
      </c>
      <c r="H209" s="83">
        <v>-2.4262344771791904</v>
      </c>
      <c r="I209" s="83">
        <v>3.2953460540442827</v>
      </c>
    </row>
    <row r="210" spans="1:9" x14ac:dyDescent="0.35">
      <c r="A210" s="20">
        <v>184</v>
      </c>
      <c r="B210" s="83">
        <v>5.9343131840999236E-2</v>
      </c>
      <c r="C210" s="83">
        <v>2.5798263676001927</v>
      </c>
      <c r="G210" s="20">
        <v>184</v>
      </c>
      <c r="H210" s="83">
        <v>-1.6388606553894438</v>
      </c>
      <c r="I210" s="83">
        <v>-0.24410090735186629</v>
      </c>
    </row>
    <row r="211" spans="1:9" x14ac:dyDescent="0.35">
      <c r="A211" s="20">
        <v>185</v>
      </c>
      <c r="B211" s="83">
        <v>2.0544725081371062</v>
      </c>
      <c r="C211" s="83">
        <v>-1.0947778210278862</v>
      </c>
      <c r="G211" s="20">
        <v>185</v>
      </c>
      <c r="H211" s="83">
        <v>2.4481598297032661</v>
      </c>
      <c r="I211" s="83">
        <v>-4.4690678182306716</v>
      </c>
    </row>
    <row r="212" spans="1:9" x14ac:dyDescent="0.35">
      <c r="A212" s="20">
        <v>186</v>
      </c>
      <c r="B212" s="83">
        <v>2.3291892951274558</v>
      </c>
      <c r="C212" s="83">
        <v>-1.1781546868596542</v>
      </c>
      <c r="G212" s="20">
        <v>186</v>
      </c>
      <c r="H212" s="83">
        <v>1.3817595786224106</v>
      </c>
      <c r="I212" s="83">
        <v>3.2919131290759984</v>
      </c>
    </row>
    <row r="213" spans="1:9" x14ac:dyDescent="0.35">
      <c r="A213" s="20">
        <v>187</v>
      </c>
      <c r="B213" s="83">
        <v>1.8606653743842287</v>
      </c>
      <c r="C213" s="83">
        <v>1.7976744967242657</v>
      </c>
      <c r="G213" s="20">
        <v>187</v>
      </c>
      <c r="H213" s="83">
        <v>3.2369971082132869</v>
      </c>
      <c r="I213" s="83">
        <v>-2.1625144826018325</v>
      </c>
    </row>
    <row r="214" spans="1:9" x14ac:dyDescent="0.35">
      <c r="A214" s="20">
        <v>188</v>
      </c>
      <c r="B214" s="83">
        <v>3.0712901495893741</v>
      </c>
      <c r="C214" s="83">
        <v>-3.5745485751994428</v>
      </c>
      <c r="G214" s="20">
        <v>188</v>
      </c>
      <c r="H214" s="83">
        <v>0.87735894982984952</v>
      </c>
      <c r="I214" s="83">
        <v>-2.5430072227951817</v>
      </c>
    </row>
    <row r="215" spans="1:9" x14ac:dyDescent="0.35">
      <c r="A215" s="20">
        <v>189</v>
      </c>
      <c r="B215" s="83">
        <v>-2.624498005092168</v>
      </c>
      <c r="C215" s="83">
        <v>0.93443758065197735</v>
      </c>
      <c r="G215" s="20">
        <v>189</v>
      </c>
      <c r="H215" s="83">
        <v>-1.9653557105105577</v>
      </c>
      <c r="I215" s="83">
        <v>1.4426721015390747</v>
      </c>
    </row>
    <row r="216" spans="1:9" x14ac:dyDescent="0.35">
      <c r="A216" s="20">
        <v>190</v>
      </c>
      <c r="B216" s="83">
        <v>1.7559526332777624</v>
      </c>
      <c r="C216" s="83">
        <v>-0.16804606409486533</v>
      </c>
      <c r="G216" s="20">
        <v>190</v>
      </c>
      <c r="H216" s="83">
        <v>3.8668975142513764</v>
      </c>
      <c r="I216" s="83">
        <v>1.6215146180978994</v>
      </c>
    </row>
    <row r="217" spans="1:9" x14ac:dyDescent="0.35">
      <c r="A217" s="20">
        <v>191</v>
      </c>
      <c r="B217" s="83">
        <v>-2.1810189528250428</v>
      </c>
      <c r="C217" s="83">
        <v>1.8801682466197605</v>
      </c>
      <c r="G217" s="20">
        <v>191</v>
      </c>
      <c r="H217" s="83">
        <v>-1.5647884730528681</v>
      </c>
      <c r="I217" s="83">
        <v>2.0114056369267028</v>
      </c>
    </row>
    <row r="218" spans="1:9" x14ac:dyDescent="0.35">
      <c r="A218" s="20">
        <v>192</v>
      </c>
      <c r="B218" s="83">
        <v>0.25143676569879092</v>
      </c>
      <c r="C218" s="83">
        <v>2.0697267733979263</v>
      </c>
      <c r="G218" s="20">
        <v>192</v>
      </c>
      <c r="H218" s="83">
        <v>2.4646195923223049</v>
      </c>
      <c r="I218" s="83">
        <v>-3.7971577263542944E-2</v>
      </c>
    </row>
    <row r="219" spans="1:9" x14ac:dyDescent="0.35">
      <c r="A219" s="20">
        <v>193</v>
      </c>
      <c r="B219" s="83">
        <v>-0.16866975517510907</v>
      </c>
      <c r="C219" s="83">
        <v>1.1943778023223424</v>
      </c>
      <c r="G219" s="20">
        <v>193</v>
      </c>
      <c r="H219" s="83">
        <v>0.90687977963779065</v>
      </c>
      <c r="I219" s="83">
        <v>-0.26051707899640197</v>
      </c>
    </row>
    <row r="220" spans="1:9" x14ac:dyDescent="0.35">
      <c r="A220" s="20">
        <v>194</v>
      </c>
      <c r="B220" s="83">
        <v>1.7662479757689487</v>
      </c>
      <c r="C220" s="83">
        <v>3.8575696564490749</v>
      </c>
      <c r="G220" s="20">
        <v>194</v>
      </c>
      <c r="H220" s="83">
        <v>-0.16789780743146787</v>
      </c>
      <c r="I220" s="83">
        <v>1.096473674139006</v>
      </c>
    </row>
    <row r="221" spans="1:9" x14ac:dyDescent="0.35">
      <c r="A221" s="20">
        <v>195</v>
      </c>
      <c r="B221" s="83">
        <v>2.8741359273020102</v>
      </c>
      <c r="C221" s="83">
        <v>1.8184693616525749</v>
      </c>
      <c r="G221" s="20">
        <v>195</v>
      </c>
      <c r="H221" s="83">
        <v>2.6793712052871363</v>
      </c>
      <c r="I221" s="83">
        <v>2.611671831864351</v>
      </c>
    </row>
    <row r="222" spans="1:9" x14ac:dyDescent="0.35">
      <c r="A222" s="20">
        <v>196</v>
      </c>
      <c r="B222" s="83">
        <v>-0.64479570929922669</v>
      </c>
      <c r="C222" s="83">
        <v>1.7945499546090897</v>
      </c>
      <c r="G222" s="20">
        <v>196</v>
      </c>
      <c r="H222" s="83">
        <v>1.9392861417504241</v>
      </c>
      <c r="I222" s="83">
        <v>1.8909345047378274</v>
      </c>
    </row>
    <row r="223" spans="1:9" x14ac:dyDescent="0.35">
      <c r="A223" s="20">
        <v>197</v>
      </c>
      <c r="B223" s="83">
        <v>-0.63748605555175009</v>
      </c>
      <c r="C223" s="83">
        <v>5.8633317971001402</v>
      </c>
      <c r="G223" s="20">
        <v>197</v>
      </c>
      <c r="H223" s="83">
        <v>0.55262500480668042</v>
      </c>
      <c r="I223" s="83">
        <v>2.3205435279737059</v>
      </c>
    </row>
    <row r="224" spans="1:9" x14ac:dyDescent="0.35">
      <c r="A224" s="20">
        <v>198</v>
      </c>
      <c r="B224" s="83">
        <v>1.9362035950148075</v>
      </c>
      <c r="C224" s="83">
        <v>-6.1169179513108904</v>
      </c>
      <c r="G224" s="20">
        <v>198</v>
      </c>
      <c r="H224" s="83">
        <v>-1.1336253827139102</v>
      </c>
      <c r="I224" s="83">
        <v>-0.2349193496630182</v>
      </c>
    </row>
    <row r="225" spans="1:9" x14ac:dyDescent="0.35">
      <c r="A225" s="20">
        <v>199</v>
      </c>
      <c r="B225" s="83">
        <v>0.70350919467673645</v>
      </c>
      <c r="C225" s="83">
        <v>0.70478454219089559</v>
      </c>
      <c r="G225" s="20">
        <v>199</v>
      </c>
      <c r="H225" s="83">
        <v>0.84807290048583317</v>
      </c>
      <c r="I225" s="83">
        <v>-2.1488917664184806</v>
      </c>
    </row>
    <row r="226" spans="1:9" x14ac:dyDescent="0.35">
      <c r="A226" s="20">
        <v>200</v>
      </c>
      <c r="B226" s="83">
        <v>1.4306445640311316</v>
      </c>
      <c r="C226" s="83">
        <v>1.6823634566255063</v>
      </c>
      <c r="G226" s="20">
        <v>200</v>
      </c>
      <c r="H226" s="83">
        <v>-0.15202158875555494</v>
      </c>
      <c r="I226" s="83">
        <v>1.8210404872663359</v>
      </c>
    </row>
    <row r="227" spans="1:9" x14ac:dyDescent="0.35">
      <c r="A227" s="20">
        <v>201</v>
      </c>
      <c r="B227" s="83">
        <v>1.3352187801024402</v>
      </c>
      <c r="C227" s="83">
        <v>-6.8954816026186876</v>
      </c>
      <c r="G227" s="20">
        <v>201</v>
      </c>
      <c r="H227" s="83">
        <v>1.8829595959326428</v>
      </c>
      <c r="I227" s="83">
        <v>-2.1532395542517597</v>
      </c>
    </row>
    <row r="228" spans="1:9" x14ac:dyDescent="0.35">
      <c r="A228" s="20">
        <v>202</v>
      </c>
      <c r="B228" s="83">
        <v>1.4223688007231077</v>
      </c>
      <c r="C228" s="83">
        <v>1.9717555630753314</v>
      </c>
      <c r="G228" s="20">
        <v>202</v>
      </c>
      <c r="H228" s="83">
        <v>1.6067474034552447</v>
      </c>
      <c r="I228" s="83">
        <v>2.1934286627592074</v>
      </c>
    </row>
    <row r="229" spans="1:9" x14ac:dyDescent="0.35">
      <c r="A229" s="20">
        <v>203</v>
      </c>
      <c r="B229" s="83">
        <v>-0.10955443787356894</v>
      </c>
      <c r="C229" s="83">
        <v>3.13092302105068</v>
      </c>
      <c r="G229" s="20">
        <v>203</v>
      </c>
      <c r="H229" s="83">
        <v>1.8884728785450484</v>
      </c>
      <c r="I229" s="83">
        <v>14.076747392232582</v>
      </c>
    </row>
    <row r="230" spans="1:9" x14ac:dyDescent="0.35">
      <c r="A230" s="20">
        <v>204</v>
      </c>
      <c r="B230" s="83">
        <v>4.674351854430026</v>
      </c>
      <c r="C230" s="83">
        <v>-4.0589749965413802</v>
      </c>
      <c r="G230" s="20">
        <v>204</v>
      </c>
      <c r="H230" s="83">
        <v>5.7949679912564012</v>
      </c>
      <c r="I230" s="83">
        <v>-0.33748569817068574</v>
      </c>
    </row>
    <row r="231" spans="1:9" x14ac:dyDescent="0.35">
      <c r="A231" s="20">
        <v>205</v>
      </c>
      <c r="B231" s="83">
        <v>-0.54142816254396353</v>
      </c>
      <c r="C231" s="83">
        <v>-7.694869534469273E-2</v>
      </c>
      <c r="G231" s="20">
        <v>205</v>
      </c>
      <c r="H231" s="83">
        <v>-2.6758254582849337</v>
      </c>
      <c r="I231" s="83">
        <v>0.17000536771966379</v>
      </c>
    </row>
    <row r="232" spans="1:9" x14ac:dyDescent="0.35">
      <c r="A232" s="20">
        <v>206</v>
      </c>
      <c r="B232" s="83">
        <v>3.1124223380481504</v>
      </c>
      <c r="C232" s="83">
        <v>-0.12641034713380073</v>
      </c>
      <c r="G232" s="20">
        <v>206</v>
      </c>
      <c r="H232" s="83">
        <v>0.31843383617524323</v>
      </c>
      <c r="I232" s="83">
        <v>0.10607342695926292</v>
      </c>
    </row>
    <row r="233" spans="1:9" x14ac:dyDescent="0.35">
      <c r="A233" s="20">
        <v>207</v>
      </c>
      <c r="B233" s="83">
        <v>1.3891091941794411</v>
      </c>
      <c r="C233" s="83">
        <v>1.9501138275633723</v>
      </c>
      <c r="G233" s="20">
        <v>207</v>
      </c>
      <c r="H233" s="83">
        <v>-1.1704975128654183</v>
      </c>
      <c r="I233" s="83">
        <v>2.0280444584413049</v>
      </c>
    </row>
    <row r="234" spans="1:9" ht="15" thickBot="1" x14ac:dyDescent="0.4">
      <c r="A234" s="21">
        <v>208</v>
      </c>
      <c r="B234" s="87">
        <v>0.83229787425398938</v>
      </c>
      <c r="C234" s="87">
        <v>-11.017796106931916</v>
      </c>
      <c r="G234" s="21">
        <v>208</v>
      </c>
      <c r="H234" s="87">
        <v>-1.2673220797143165</v>
      </c>
      <c r="I234" s="87">
        <v>1.3787800336980098</v>
      </c>
    </row>
  </sheetData>
  <mergeCells count="14">
    <mergeCell ref="S18:T18"/>
    <mergeCell ref="S19:T19"/>
    <mergeCell ref="S20:T20"/>
    <mergeCell ref="N1:T2"/>
    <mergeCell ref="S5:T5"/>
    <mergeCell ref="S6:T6"/>
    <mergeCell ref="S7:T7"/>
    <mergeCell ref="S8:T8"/>
    <mergeCell ref="S9:T9"/>
    <mergeCell ref="C8:D8"/>
    <mergeCell ref="I8:J8"/>
    <mergeCell ref="N12:T13"/>
    <mergeCell ref="S16:T16"/>
    <mergeCell ref="S17:T1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E6"/>
  <sheetViews>
    <sheetView tabSelected="1" workbookViewId="0">
      <selection activeCell="E6" sqref="E6"/>
    </sheetView>
  </sheetViews>
  <sheetFormatPr defaultRowHeight="14.5" x14ac:dyDescent="0.35"/>
  <sheetData>
    <row r="6" spans="5:5" x14ac:dyDescent="0.35">
      <c r="E6">
        <f>doloopuntildemo(35)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21</vt:i4>
      </vt:variant>
    </vt:vector>
  </HeadingPairs>
  <TitlesOfParts>
    <vt:vector size="35" baseType="lpstr">
      <vt:lpstr>Stock Price</vt:lpstr>
      <vt:lpstr>Returns</vt:lpstr>
      <vt:lpstr>Q1_TwoDimensionTable</vt:lpstr>
      <vt:lpstr>Q2_AnnualSMean&amp;StdDev</vt:lpstr>
      <vt:lpstr>Q3_BIIB_Reg</vt:lpstr>
      <vt:lpstr>Q3_BNCN_Reg</vt:lpstr>
      <vt:lpstr>Q3_CELG_Reg</vt:lpstr>
      <vt:lpstr>Q3_MCHP_Reg</vt:lpstr>
      <vt:lpstr>Q4_CAPM</vt:lpstr>
      <vt:lpstr>Q5_Correlation</vt:lpstr>
      <vt:lpstr>Q6_Slope</vt:lpstr>
      <vt:lpstr>Q7_MarketRegression</vt:lpstr>
      <vt:lpstr>Q8_FamaFrench</vt:lpstr>
      <vt:lpstr>Sheet1</vt:lpstr>
      <vt:lpstr>BIIB</vt:lpstr>
      <vt:lpstr>BIIB1</vt:lpstr>
      <vt:lpstr>BIIB2</vt:lpstr>
      <vt:lpstr>BNCN</vt:lpstr>
      <vt:lpstr>BNCN1</vt:lpstr>
      <vt:lpstr>BNCN2</vt:lpstr>
      <vt:lpstr>CELG</vt:lpstr>
      <vt:lpstr>CELG1</vt:lpstr>
      <vt:lpstr>CELG2</vt:lpstr>
      <vt:lpstr>factor3</vt:lpstr>
      <vt:lpstr>HML</vt:lpstr>
      <vt:lpstr>MCHP</vt:lpstr>
      <vt:lpstr>MCHP1</vt:lpstr>
      <vt:lpstr>MCHP2</vt:lpstr>
      <vt:lpstr>Mkt_RF</vt:lpstr>
      <vt:lpstr>Mkt_RF1</vt:lpstr>
      <vt:lpstr>Mkt_RF2</vt:lpstr>
      <vt:lpstr>RF</vt:lpstr>
      <vt:lpstr>SMB</vt:lpstr>
      <vt:lpstr>varcov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Trang Nguyen</dc:creator>
  <cp:lastModifiedBy>Trang Nguyen</cp:lastModifiedBy>
  <dcterms:created xsi:type="dcterms:W3CDTF">2017-02-01T14:44:40Z</dcterms:created>
  <dcterms:modified xsi:type="dcterms:W3CDTF">2017-03-08T04:01:39Z</dcterms:modified>
</cp:coreProperties>
</file>